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8760" activeTab="1"/>
  </bookViews>
  <sheets>
    <sheet name="Pension_calculation" sheetId="1" r:id="rId1"/>
    <sheet name="Sheet2" sheetId="2" r:id="rId2"/>
  </sheets>
  <externalReferences>
    <externalReference r:id="rId3"/>
  </externalReferences>
  <definedNames>
    <definedName name="_xlnm._FilterDatabase" localSheetId="0" hidden="1">Pension_calculation!$A$3:$I$331</definedName>
  </definedNames>
  <calcPr calcId="145621"/>
</workbook>
</file>

<file path=xl/calcChain.xml><?xml version="1.0" encoding="utf-8"?>
<calcChain xmlns="http://schemas.openxmlformats.org/spreadsheetml/2006/main">
  <c r="B34" i="2" l="1"/>
  <c r="B32" i="2"/>
  <c r="B27" i="2"/>
  <c r="B26" i="2"/>
  <c r="B25" i="2"/>
  <c r="B24" i="2"/>
  <c r="B28" i="2" s="1"/>
  <c r="B23" i="2"/>
  <c r="B14" i="2"/>
  <c r="B13" i="2"/>
  <c r="C14" i="2"/>
  <c r="Q30" i="1"/>
  <c r="B5" i="2"/>
  <c r="Q35" i="1"/>
  <c r="E296" i="1"/>
  <c r="H296" i="1" s="1"/>
  <c r="H295" i="1"/>
  <c r="G295" i="1"/>
  <c r="I295" i="1" s="1"/>
  <c r="E295" i="1"/>
  <c r="H294" i="1"/>
  <c r="G294" i="1"/>
  <c r="I294" i="1" s="1"/>
  <c r="G293" i="1"/>
  <c r="E293" i="1"/>
  <c r="H293" i="1" s="1"/>
  <c r="H292" i="1"/>
  <c r="G292" i="1"/>
  <c r="I292" i="1" s="1"/>
  <c r="I291" i="1"/>
  <c r="H291" i="1"/>
  <c r="G291" i="1"/>
  <c r="H289" i="1"/>
  <c r="G289" i="1"/>
  <c r="I289" i="1" s="1"/>
  <c r="E289" i="1"/>
  <c r="E290" i="1" s="1"/>
  <c r="I288" i="1"/>
  <c r="H288" i="1"/>
  <c r="G288" i="1"/>
  <c r="G287" i="1"/>
  <c r="I287" i="1" s="1"/>
  <c r="E287" i="1"/>
  <c r="H287" i="1" s="1"/>
  <c r="H286" i="1"/>
  <c r="I286" i="1" s="1"/>
  <c r="G286" i="1"/>
  <c r="H285" i="1"/>
  <c r="G285" i="1"/>
  <c r="I285" i="1" s="1"/>
  <c r="E281" i="1"/>
  <c r="H281" i="1" s="1"/>
  <c r="H280" i="1"/>
  <c r="G280" i="1"/>
  <c r="I280" i="1" s="1"/>
  <c r="E280" i="1"/>
  <c r="H279" i="1"/>
  <c r="G279" i="1"/>
  <c r="I279" i="1" s="1"/>
  <c r="I278" i="1"/>
  <c r="H278" i="1"/>
  <c r="G278" i="1"/>
  <c r="I277" i="1"/>
  <c r="H277" i="1"/>
  <c r="G277" i="1"/>
  <c r="E277" i="1"/>
  <c r="H276" i="1"/>
  <c r="I276" i="1" s="1"/>
  <c r="G276" i="1"/>
  <c r="H275" i="1"/>
  <c r="E275" i="1"/>
  <c r="G275" i="1" s="1"/>
  <c r="I275" i="1" s="1"/>
  <c r="H274" i="1"/>
  <c r="G274" i="1"/>
  <c r="I274" i="1" s="1"/>
  <c r="H273" i="1"/>
  <c r="G273" i="1"/>
  <c r="I273" i="1" s="1"/>
  <c r="E268" i="1"/>
  <c r="H268" i="1" s="1"/>
  <c r="H267" i="1"/>
  <c r="G267" i="1"/>
  <c r="I267" i="1" s="1"/>
  <c r="E265" i="1"/>
  <c r="E266" i="1" s="1"/>
  <c r="H264" i="1"/>
  <c r="I264" i="1" s="1"/>
  <c r="G264" i="1"/>
  <c r="H263" i="1"/>
  <c r="I263" i="1" s="1"/>
  <c r="G263" i="1"/>
  <c r="E263" i="1"/>
  <c r="I262" i="1"/>
  <c r="H262" i="1"/>
  <c r="G262" i="1"/>
  <c r="H261" i="1"/>
  <c r="G261" i="1"/>
  <c r="I261" i="1" s="1"/>
  <c r="G259" i="1"/>
  <c r="E259" i="1"/>
  <c r="H259" i="1" s="1"/>
  <c r="H258" i="1"/>
  <c r="E258" i="1"/>
  <c r="G258" i="1" s="1"/>
  <c r="I258" i="1" s="1"/>
  <c r="H257" i="1"/>
  <c r="G257" i="1"/>
  <c r="I257" i="1" s="1"/>
  <c r="H256" i="1"/>
  <c r="G256" i="1"/>
  <c r="I256" i="1" s="1"/>
  <c r="E254" i="1"/>
  <c r="E255" i="1" s="1"/>
  <c r="E253" i="1"/>
  <c r="G253" i="1" s="1"/>
  <c r="I252" i="1"/>
  <c r="H252" i="1"/>
  <c r="G252" i="1"/>
  <c r="H250" i="1"/>
  <c r="I250" i="1" s="1"/>
  <c r="G250" i="1"/>
  <c r="E250" i="1"/>
  <c r="E251" i="1" s="1"/>
  <c r="I249" i="1"/>
  <c r="H249" i="1"/>
  <c r="G249" i="1"/>
  <c r="H244" i="1"/>
  <c r="I244" i="1" s="1"/>
  <c r="G244" i="1"/>
  <c r="E244" i="1"/>
  <c r="E245" i="1" s="1"/>
  <c r="I243" i="1"/>
  <c r="H243" i="1"/>
  <c r="G243" i="1"/>
  <c r="E243" i="1"/>
  <c r="H242" i="1"/>
  <c r="I242" i="1" s="1"/>
  <c r="G242" i="1"/>
  <c r="H241" i="1"/>
  <c r="E241" i="1"/>
  <c r="G241" i="1" s="1"/>
  <c r="I241" i="1" s="1"/>
  <c r="H240" i="1"/>
  <c r="G240" i="1"/>
  <c r="I240" i="1" s="1"/>
  <c r="E238" i="1"/>
  <c r="H238" i="1" s="1"/>
  <c r="H237" i="1"/>
  <c r="G237" i="1"/>
  <c r="I237" i="1" s="1"/>
  <c r="E236" i="1"/>
  <c r="G236" i="1" s="1"/>
  <c r="I235" i="1"/>
  <c r="H235" i="1"/>
  <c r="G235" i="1"/>
  <c r="E234" i="1"/>
  <c r="G234" i="1" s="1"/>
  <c r="I233" i="1"/>
  <c r="H233" i="1"/>
  <c r="G233" i="1"/>
  <c r="I232" i="1"/>
  <c r="H232" i="1"/>
  <c r="G232" i="1"/>
  <c r="H231" i="1"/>
  <c r="G231" i="1"/>
  <c r="I231" i="1" s="1"/>
  <c r="E231" i="1"/>
  <c r="H230" i="1"/>
  <c r="I230" i="1" s="1"/>
  <c r="G230" i="1"/>
  <c r="E229" i="1"/>
  <c r="H228" i="1"/>
  <c r="G228" i="1"/>
  <c r="I228" i="1" s="1"/>
  <c r="E227" i="1"/>
  <c r="G227" i="1" s="1"/>
  <c r="I226" i="1"/>
  <c r="H226" i="1"/>
  <c r="G226" i="1"/>
  <c r="I225" i="1"/>
  <c r="H225" i="1"/>
  <c r="G225" i="1"/>
  <c r="H220" i="1"/>
  <c r="I220" i="1" s="1"/>
  <c r="G220" i="1"/>
  <c r="E220" i="1"/>
  <c r="E221" i="1" s="1"/>
  <c r="I219" i="1"/>
  <c r="H219" i="1"/>
  <c r="G219" i="1"/>
  <c r="H218" i="1"/>
  <c r="G218" i="1"/>
  <c r="I218" i="1" s="1"/>
  <c r="H217" i="1"/>
  <c r="G217" i="1"/>
  <c r="I217" i="1" s="1"/>
  <c r="E217" i="1"/>
  <c r="H216" i="1"/>
  <c r="G216" i="1"/>
  <c r="I216" i="1" s="1"/>
  <c r="I215" i="1"/>
  <c r="H215" i="1"/>
  <c r="G215" i="1"/>
  <c r="I214" i="1"/>
  <c r="H214" i="1"/>
  <c r="G214" i="1"/>
  <c r="H212" i="1"/>
  <c r="H211" i="1"/>
  <c r="G211" i="1"/>
  <c r="I211" i="1" s="1"/>
  <c r="E211" i="1"/>
  <c r="E212" i="1" s="1"/>
  <c r="I210" i="1"/>
  <c r="H210" i="1"/>
  <c r="G210" i="1"/>
  <c r="E210" i="1"/>
  <c r="H209" i="1"/>
  <c r="I209" i="1" s="1"/>
  <c r="G209" i="1"/>
  <c r="H208" i="1"/>
  <c r="I208" i="1" s="1"/>
  <c r="G208" i="1"/>
  <c r="H207" i="1"/>
  <c r="G207" i="1"/>
  <c r="I207" i="1" s="1"/>
  <c r="E206" i="1"/>
  <c r="E205" i="1"/>
  <c r="G205" i="1" s="1"/>
  <c r="I204" i="1"/>
  <c r="H204" i="1"/>
  <c r="G204" i="1"/>
  <c r="I203" i="1"/>
  <c r="H203" i="1"/>
  <c r="G203" i="1"/>
  <c r="H202" i="1"/>
  <c r="G202" i="1"/>
  <c r="I202" i="1" s="1"/>
  <c r="E202" i="1"/>
  <c r="H201" i="1"/>
  <c r="I201" i="1" s="1"/>
  <c r="G201" i="1"/>
  <c r="E200" i="1"/>
  <c r="H199" i="1"/>
  <c r="G199" i="1"/>
  <c r="I199" i="1" s="1"/>
  <c r="E199" i="1"/>
  <c r="H198" i="1"/>
  <c r="G198" i="1"/>
  <c r="I198" i="1" s="1"/>
  <c r="H197" i="1"/>
  <c r="G197" i="1"/>
  <c r="I197" i="1" s="1"/>
  <c r="E196" i="1"/>
  <c r="G196" i="1" s="1"/>
  <c r="I195" i="1"/>
  <c r="H195" i="1"/>
  <c r="G195" i="1"/>
  <c r="H193" i="1"/>
  <c r="I193" i="1" s="1"/>
  <c r="G193" i="1"/>
  <c r="E193" i="1"/>
  <c r="E194" i="1" s="1"/>
  <c r="I192" i="1"/>
  <c r="H192" i="1"/>
  <c r="G192" i="1"/>
  <c r="H191" i="1"/>
  <c r="G191" i="1"/>
  <c r="I191" i="1" s="1"/>
  <c r="H190" i="1"/>
  <c r="G190" i="1"/>
  <c r="I190" i="1" s="1"/>
  <c r="H189" i="1"/>
  <c r="I189" i="1" s="1"/>
  <c r="G189" i="1"/>
  <c r="H188" i="1"/>
  <c r="I188" i="1" s="1"/>
  <c r="G188" i="1"/>
  <c r="H186" i="1"/>
  <c r="G186" i="1"/>
  <c r="E186" i="1"/>
  <c r="E187" i="1" s="1"/>
  <c r="G187" i="1" s="1"/>
  <c r="I185" i="1"/>
  <c r="H185" i="1"/>
  <c r="G185" i="1"/>
  <c r="E185" i="1"/>
  <c r="H184" i="1"/>
  <c r="G184" i="1"/>
  <c r="I184" i="1" s="1"/>
  <c r="H183" i="1"/>
  <c r="I183" i="1" s="1"/>
  <c r="G183" i="1"/>
  <c r="H182" i="1"/>
  <c r="G182" i="1"/>
  <c r="I182" i="1" s="1"/>
  <c r="E181" i="1"/>
  <c r="H180" i="1"/>
  <c r="I180" i="1" s="1"/>
  <c r="G180" i="1"/>
  <c r="H179" i="1"/>
  <c r="G179" i="1"/>
  <c r="I179" i="1" s="1"/>
  <c r="E179" i="1"/>
  <c r="I178" i="1"/>
  <c r="H178" i="1"/>
  <c r="G178" i="1"/>
  <c r="H177" i="1"/>
  <c r="G177" i="1"/>
  <c r="I177" i="1" s="1"/>
  <c r="F175" i="1"/>
  <c r="E175" i="1"/>
  <c r="H175" i="1" s="1"/>
  <c r="H174" i="1"/>
  <c r="I174" i="1" s="1"/>
  <c r="G174" i="1"/>
  <c r="H173" i="1"/>
  <c r="G173" i="1"/>
  <c r="I173" i="1" s="1"/>
  <c r="E172" i="1"/>
  <c r="H171" i="1"/>
  <c r="I171" i="1" s="1"/>
  <c r="G171" i="1"/>
  <c r="H170" i="1"/>
  <c r="G170" i="1"/>
  <c r="E170" i="1"/>
  <c r="I169" i="1"/>
  <c r="H169" i="1"/>
  <c r="G169" i="1"/>
  <c r="E169" i="1"/>
  <c r="H168" i="1"/>
  <c r="G168" i="1"/>
  <c r="I168" i="1" s="1"/>
  <c r="H167" i="1"/>
  <c r="I167" i="1" s="1"/>
  <c r="G167" i="1"/>
  <c r="H166" i="1"/>
  <c r="G166" i="1"/>
  <c r="I166" i="1" s="1"/>
  <c r="I165" i="1"/>
  <c r="H165" i="1"/>
  <c r="G165" i="1"/>
  <c r="I164" i="1"/>
  <c r="H164" i="1"/>
  <c r="G164" i="1"/>
  <c r="H161" i="1"/>
  <c r="G161" i="1"/>
  <c r="I161" i="1" s="1"/>
  <c r="E161" i="1"/>
  <c r="E162" i="1" s="1"/>
  <c r="I160" i="1"/>
  <c r="H160" i="1"/>
  <c r="G160" i="1"/>
  <c r="E160" i="1"/>
  <c r="H159" i="1"/>
  <c r="G159" i="1"/>
  <c r="H158" i="1"/>
  <c r="I158" i="1" s="1"/>
  <c r="G158" i="1"/>
  <c r="H157" i="1"/>
  <c r="G157" i="1"/>
  <c r="I157" i="1" s="1"/>
  <c r="I156" i="1"/>
  <c r="H156" i="1"/>
  <c r="G156" i="1"/>
  <c r="I155" i="1"/>
  <c r="H155" i="1"/>
  <c r="G155" i="1"/>
  <c r="E155" i="1"/>
  <c r="H154" i="1"/>
  <c r="G154" i="1"/>
  <c r="H153" i="1"/>
  <c r="I153" i="1" s="1"/>
  <c r="G153" i="1"/>
  <c r="H152" i="1"/>
  <c r="G152" i="1"/>
  <c r="I152" i="1" s="1"/>
  <c r="I151" i="1"/>
  <c r="H151" i="1"/>
  <c r="G151" i="1"/>
  <c r="E151" i="1"/>
  <c r="H150" i="1"/>
  <c r="G150" i="1"/>
  <c r="I150" i="1" s="1"/>
  <c r="E149" i="1"/>
  <c r="H148" i="1"/>
  <c r="I148" i="1" s="1"/>
  <c r="G148" i="1"/>
  <c r="H147" i="1"/>
  <c r="G147" i="1"/>
  <c r="I147" i="1" s="1"/>
  <c r="H146" i="1"/>
  <c r="I146" i="1" s="1"/>
  <c r="G146" i="1"/>
  <c r="E145" i="1"/>
  <c r="F151" i="1" s="1"/>
  <c r="H144" i="1"/>
  <c r="G144" i="1"/>
  <c r="I144" i="1" s="1"/>
  <c r="H143" i="1"/>
  <c r="I143" i="1" s="1"/>
  <c r="G143" i="1"/>
  <c r="H142" i="1"/>
  <c r="G142" i="1"/>
  <c r="I142" i="1" s="1"/>
  <c r="H141" i="1"/>
  <c r="I141" i="1" s="1"/>
  <c r="G141" i="1"/>
  <c r="H140" i="1"/>
  <c r="G140" i="1"/>
  <c r="I140" i="1" s="1"/>
  <c r="I139" i="1"/>
  <c r="H139" i="1"/>
  <c r="G139" i="1"/>
  <c r="E139" i="1"/>
  <c r="H138" i="1"/>
  <c r="G138" i="1"/>
  <c r="I138" i="1" s="1"/>
  <c r="E135" i="1"/>
  <c r="H134" i="1"/>
  <c r="I134" i="1" s="1"/>
  <c r="G134" i="1"/>
  <c r="H133" i="1"/>
  <c r="G133" i="1"/>
  <c r="E133" i="1"/>
  <c r="I132" i="1"/>
  <c r="H132" i="1"/>
  <c r="G132" i="1"/>
  <c r="E132" i="1"/>
  <c r="I131" i="1"/>
  <c r="H131" i="1"/>
  <c r="G131" i="1"/>
  <c r="I130" i="1"/>
  <c r="H130" i="1"/>
  <c r="G130" i="1"/>
  <c r="H129" i="1"/>
  <c r="G129" i="1"/>
  <c r="I129" i="1" s="1"/>
  <c r="H128" i="1"/>
  <c r="H127" i="1"/>
  <c r="G127" i="1"/>
  <c r="I127" i="1" s="1"/>
  <c r="E127" i="1"/>
  <c r="E128" i="1" s="1"/>
  <c r="G128" i="1" s="1"/>
  <c r="I126" i="1"/>
  <c r="H126" i="1"/>
  <c r="G126" i="1"/>
  <c r="E125" i="1"/>
  <c r="H125" i="1" s="1"/>
  <c r="H124" i="1"/>
  <c r="E124" i="1"/>
  <c r="G124" i="1" s="1"/>
  <c r="I124" i="1" s="1"/>
  <c r="H123" i="1"/>
  <c r="G123" i="1"/>
  <c r="I123" i="1" s="1"/>
  <c r="E121" i="1"/>
  <c r="I120" i="1"/>
  <c r="H120" i="1"/>
  <c r="G120" i="1"/>
  <c r="E120" i="1"/>
  <c r="H119" i="1"/>
  <c r="G119" i="1"/>
  <c r="I119" i="1" s="1"/>
  <c r="I118" i="1"/>
  <c r="H118" i="1"/>
  <c r="G118" i="1"/>
  <c r="H117" i="1"/>
  <c r="I117" i="1" s="1"/>
  <c r="G117" i="1"/>
  <c r="E115" i="1"/>
  <c r="H114" i="1"/>
  <c r="I114" i="1" s="1"/>
  <c r="G114" i="1"/>
  <c r="I113" i="1"/>
  <c r="H113" i="1"/>
  <c r="G113" i="1"/>
  <c r="H112" i="1"/>
  <c r="G112" i="1"/>
  <c r="I112" i="1" s="1"/>
  <c r="E112" i="1"/>
  <c r="H111" i="1"/>
  <c r="I111" i="1" s="1"/>
  <c r="G111" i="1"/>
  <c r="H110" i="1"/>
  <c r="G110" i="1"/>
  <c r="I110" i="1" s="1"/>
  <c r="H109" i="1"/>
  <c r="I109" i="1" s="1"/>
  <c r="G109" i="1"/>
  <c r="I107" i="1"/>
  <c r="H107" i="1"/>
  <c r="G107" i="1"/>
  <c r="E107" i="1"/>
  <c r="E108" i="1" s="1"/>
  <c r="I106" i="1"/>
  <c r="H106" i="1"/>
  <c r="G106" i="1"/>
  <c r="H105" i="1"/>
  <c r="G105" i="1"/>
  <c r="I105" i="1" s="1"/>
  <c r="E105" i="1"/>
  <c r="H104" i="1"/>
  <c r="E104" i="1"/>
  <c r="H103" i="1"/>
  <c r="G103" i="1"/>
  <c r="I103" i="1" s="1"/>
  <c r="H102" i="1"/>
  <c r="I102" i="1" s="1"/>
  <c r="G102" i="1"/>
  <c r="E101" i="1"/>
  <c r="H101" i="1" s="1"/>
  <c r="H100" i="1"/>
  <c r="G100" i="1"/>
  <c r="I100" i="1" s="1"/>
  <c r="E100" i="1"/>
  <c r="H99" i="1"/>
  <c r="G99" i="1"/>
  <c r="I99" i="1" s="1"/>
  <c r="H98" i="1"/>
  <c r="I98" i="1" s="1"/>
  <c r="G98" i="1"/>
  <c r="H94" i="1"/>
  <c r="G94" i="1"/>
  <c r="I94" i="1" s="1"/>
  <c r="E94" i="1"/>
  <c r="E95" i="1" s="1"/>
  <c r="I93" i="1"/>
  <c r="H93" i="1"/>
  <c r="G93" i="1"/>
  <c r="H92" i="1"/>
  <c r="G92" i="1"/>
  <c r="H91" i="1"/>
  <c r="G91" i="1"/>
  <c r="I91" i="1" s="1"/>
  <c r="H90" i="1"/>
  <c r="G90" i="1"/>
  <c r="I90" i="1" s="1"/>
  <c r="H89" i="1"/>
  <c r="E89" i="1"/>
  <c r="G89" i="1" s="1"/>
  <c r="I89" i="1" s="1"/>
  <c r="H88" i="1"/>
  <c r="I88" i="1" s="1"/>
  <c r="G88" i="1"/>
  <c r="H87" i="1"/>
  <c r="E87" i="1"/>
  <c r="G87" i="1" s="1"/>
  <c r="I87" i="1" s="1"/>
  <c r="E85" i="1"/>
  <c r="E86" i="1" s="1"/>
  <c r="H83" i="1"/>
  <c r="E83" i="1"/>
  <c r="E84" i="1" s="1"/>
  <c r="I82" i="1"/>
  <c r="H82" i="1"/>
  <c r="G82" i="1"/>
  <c r="H81" i="1"/>
  <c r="G81" i="1"/>
  <c r="E79" i="1"/>
  <c r="H78" i="1"/>
  <c r="I78" i="1" s="1"/>
  <c r="G78" i="1"/>
  <c r="H77" i="1"/>
  <c r="G77" i="1"/>
  <c r="I77" i="1" s="1"/>
  <c r="H76" i="1"/>
  <c r="I76" i="1" s="1"/>
  <c r="G76" i="1"/>
  <c r="I75" i="1"/>
  <c r="H75" i="1"/>
  <c r="G75" i="1"/>
  <c r="E72" i="1"/>
  <c r="G72" i="1" s="1"/>
  <c r="H71" i="1"/>
  <c r="I71" i="1" s="1"/>
  <c r="G71" i="1"/>
  <c r="I70" i="1"/>
  <c r="H70" i="1"/>
  <c r="G70" i="1"/>
  <c r="H69" i="1"/>
  <c r="G69" i="1"/>
  <c r="I69" i="1" s="1"/>
  <c r="I68" i="1"/>
  <c r="H68" i="1"/>
  <c r="G68" i="1"/>
  <c r="E68" i="1"/>
  <c r="H67" i="1"/>
  <c r="G67" i="1"/>
  <c r="I67" i="1" s="1"/>
  <c r="I66" i="1"/>
  <c r="H66" i="1"/>
  <c r="G66" i="1"/>
  <c r="E65" i="1"/>
  <c r="G65" i="1" s="1"/>
  <c r="I64" i="1"/>
  <c r="H64" i="1"/>
  <c r="G64" i="1"/>
  <c r="H63" i="1"/>
  <c r="G63" i="1"/>
  <c r="I63" i="1" s="1"/>
  <c r="E61" i="1"/>
  <c r="G61" i="1" s="1"/>
  <c r="E60" i="1"/>
  <c r="H60" i="1" s="1"/>
  <c r="H59" i="1"/>
  <c r="G59" i="1"/>
  <c r="I59" i="1" s="1"/>
  <c r="I58" i="1"/>
  <c r="H58" i="1"/>
  <c r="G58" i="1"/>
  <c r="H57" i="1"/>
  <c r="G57" i="1"/>
  <c r="I57" i="1" s="1"/>
  <c r="G55" i="1"/>
  <c r="E55" i="1"/>
  <c r="H55" i="1" s="1"/>
  <c r="H54" i="1"/>
  <c r="G54" i="1"/>
  <c r="I54" i="1" s="1"/>
  <c r="I53" i="1"/>
  <c r="H53" i="1"/>
  <c r="G53" i="1"/>
  <c r="E53" i="1"/>
  <c r="Q52" i="1"/>
  <c r="H52" i="1"/>
  <c r="G52" i="1"/>
  <c r="I52" i="1" s="1"/>
  <c r="Q51" i="1"/>
  <c r="H51" i="1"/>
  <c r="I51" i="1" s="1"/>
  <c r="G51" i="1"/>
  <c r="Q50" i="1"/>
  <c r="H50" i="1"/>
  <c r="G50" i="1"/>
  <c r="I50" i="1" s="1"/>
  <c r="Q49" i="1"/>
  <c r="H49" i="1"/>
  <c r="E49" i="1"/>
  <c r="G49" i="1" s="1"/>
  <c r="I49" i="1" s="1"/>
  <c r="H48" i="1"/>
  <c r="G48" i="1"/>
  <c r="I48" i="1" s="1"/>
  <c r="I47" i="1"/>
  <c r="H47" i="1"/>
  <c r="G47" i="1"/>
  <c r="E46" i="1"/>
  <c r="H46" i="1" s="1"/>
  <c r="I45" i="1"/>
  <c r="H45" i="1"/>
  <c r="G45" i="1"/>
  <c r="Q44" i="1"/>
  <c r="E44" i="1"/>
  <c r="H44" i="1" s="1"/>
  <c r="H43" i="1"/>
  <c r="E43" i="1"/>
  <c r="G43" i="1" s="1"/>
  <c r="I43" i="1" s="1"/>
  <c r="H42" i="1"/>
  <c r="I42" i="1" s="1"/>
  <c r="G42" i="1"/>
  <c r="E41" i="1"/>
  <c r="G41" i="1" s="1"/>
  <c r="Q40" i="1"/>
  <c r="I40" i="1"/>
  <c r="H40" i="1"/>
  <c r="G40" i="1"/>
  <c r="Q39" i="1"/>
  <c r="Q41" i="1" s="1"/>
  <c r="Q118" i="1" s="1"/>
  <c r="H39" i="1"/>
  <c r="G39" i="1"/>
  <c r="I39" i="1" s="1"/>
  <c r="H38" i="1"/>
  <c r="I38" i="1" s="1"/>
  <c r="G38" i="1"/>
  <c r="E37" i="1"/>
  <c r="H37" i="1" s="1"/>
  <c r="E36" i="1"/>
  <c r="G36" i="1" s="1"/>
  <c r="P35" i="1"/>
  <c r="H35" i="1"/>
  <c r="G35" i="1"/>
  <c r="I35" i="1" s="1"/>
  <c r="H34" i="1"/>
  <c r="G34" i="1"/>
  <c r="I34" i="1" s="1"/>
  <c r="H33" i="1"/>
  <c r="I33" i="1" s="1"/>
  <c r="G33" i="1"/>
  <c r="H32" i="1"/>
  <c r="E32" i="1"/>
  <c r="F43" i="1" s="1"/>
  <c r="H31" i="1"/>
  <c r="G31" i="1"/>
  <c r="I31" i="1" s="1"/>
  <c r="H30" i="1"/>
  <c r="I30" i="1" s="1"/>
  <c r="G30" i="1"/>
  <c r="H29" i="1"/>
  <c r="G29" i="1"/>
  <c r="I29" i="1" s="1"/>
  <c r="O26" i="1"/>
  <c r="H23" i="1"/>
  <c r="G23" i="1"/>
  <c r="I23" i="1" s="1"/>
  <c r="E23" i="1"/>
  <c r="E24" i="1" s="1"/>
  <c r="N22" i="1"/>
  <c r="Q25" i="1" s="1"/>
  <c r="I22" i="1"/>
  <c r="H22" i="1"/>
  <c r="G22" i="1"/>
  <c r="H21" i="1"/>
  <c r="G21" i="1"/>
  <c r="I21" i="1" s="1"/>
  <c r="N20" i="1"/>
  <c r="E19" i="1"/>
  <c r="E20" i="1" s="1"/>
  <c r="I18" i="1"/>
  <c r="H18" i="1"/>
  <c r="G18" i="1"/>
  <c r="E16" i="1"/>
  <c r="E17" i="1" s="1"/>
  <c r="H15" i="1"/>
  <c r="G15" i="1"/>
  <c r="I15" i="1" s="1"/>
  <c r="H14" i="1"/>
  <c r="G14" i="1"/>
  <c r="I14" i="1" s="1"/>
  <c r="O11" i="1"/>
  <c r="O10" i="1"/>
  <c r="O12" i="1" s="1"/>
  <c r="E10" i="1"/>
  <c r="E11" i="1" s="1"/>
  <c r="I9" i="1"/>
  <c r="H9" i="1"/>
  <c r="G9" i="1"/>
  <c r="H8" i="1"/>
  <c r="I8" i="1" s="1"/>
  <c r="G8" i="1"/>
  <c r="E7" i="1"/>
  <c r="G7" i="1" s="1"/>
  <c r="I6" i="1"/>
  <c r="H6" i="1"/>
  <c r="G6" i="1"/>
  <c r="H5" i="1"/>
  <c r="G5" i="1"/>
  <c r="I5" i="1" s="1"/>
  <c r="H4" i="1"/>
  <c r="G4" i="1"/>
  <c r="I4" i="1" s="1"/>
  <c r="C13" i="2" l="1"/>
  <c r="C15" i="2" s="1"/>
  <c r="B17" i="2" s="1"/>
  <c r="B19" i="2" s="1"/>
  <c r="B21" i="2" s="1"/>
  <c r="B29" i="2"/>
  <c r="B30" i="2" s="1"/>
  <c r="H11" i="1"/>
  <c r="G11" i="1"/>
  <c r="E12" i="1"/>
  <c r="Q128" i="1"/>
  <c r="Q131" i="1" s="1"/>
  <c r="H17" i="1"/>
  <c r="G17" i="1"/>
  <c r="O13" i="1"/>
  <c r="O14" i="1"/>
  <c r="E25" i="1"/>
  <c r="H24" i="1"/>
  <c r="G24" i="1"/>
  <c r="I24" i="1" s="1"/>
  <c r="H20" i="1"/>
  <c r="G20" i="1"/>
  <c r="I55" i="1"/>
  <c r="H10" i="1"/>
  <c r="G37" i="1"/>
  <c r="I37" i="1" s="1"/>
  <c r="H61" i="1"/>
  <c r="I61" i="1" s="1"/>
  <c r="E96" i="1"/>
  <c r="H95" i="1"/>
  <c r="G95" i="1"/>
  <c r="I95" i="1" s="1"/>
  <c r="G16" i="1"/>
  <c r="I16" i="1" s="1"/>
  <c r="G46" i="1"/>
  <c r="I46" i="1" s="1"/>
  <c r="H16" i="1"/>
  <c r="G32" i="1"/>
  <c r="I32" i="1" s="1"/>
  <c r="H36" i="1"/>
  <c r="I36" i="1" s="1"/>
  <c r="H41" i="1"/>
  <c r="I41" i="1" s="1"/>
  <c r="E56" i="1"/>
  <c r="G60" i="1"/>
  <c r="I60" i="1" s="1"/>
  <c r="H65" i="1"/>
  <c r="I65" i="1" s="1"/>
  <c r="H72" i="1"/>
  <c r="I72" i="1" s="1"/>
  <c r="H84" i="1"/>
  <c r="G84" i="1"/>
  <c r="I84" i="1" s="1"/>
  <c r="I154" i="1"/>
  <c r="H181" i="1"/>
  <c r="G181" i="1"/>
  <c r="E222" i="1"/>
  <c r="H221" i="1"/>
  <c r="G221" i="1"/>
  <c r="I221" i="1" s="1"/>
  <c r="H229" i="1"/>
  <c r="G229" i="1"/>
  <c r="I229" i="1" s="1"/>
  <c r="I236" i="1"/>
  <c r="H290" i="1"/>
  <c r="G290" i="1"/>
  <c r="E62" i="1"/>
  <c r="E73" i="1"/>
  <c r="G83" i="1"/>
  <c r="I83" i="1" s="1"/>
  <c r="I92" i="1"/>
  <c r="G101" i="1"/>
  <c r="I101" i="1" s="1"/>
  <c r="I128" i="1"/>
  <c r="I170" i="1"/>
  <c r="I293" i="1"/>
  <c r="H200" i="1"/>
  <c r="G200" i="1"/>
  <c r="I200" i="1" s="1"/>
  <c r="F211" i="1"/>
  <c r="G10" i="1"/>
  <c r="I10" i="1" s="1"/>
  <c r="F55" i="1"/>
  <c r="I81" i="1"/>
  <c r="I133" i="1"/>
  <c r="H149" i="1"/>
  <c r="G149" i="1"/>
  <c r="E163" i="1"/>
  <c r="H162" i="1"/>
  <c r="G162" i="1"/>
  <c r="H194" i="1"/>
  <c r="G194" i="1"/>
  <c r="I194" i="1" s="1"/>
  <c r="E213" i="1"/>
  <c r="G212" i="1"/>
  <c r="I212" i="1" s="1"/>
  <c r="G255" i="1"/>
  <c r="H255" i="1"/>
  <c r="I259" i="1"/>
  <c r="H79" i="1"/>
  <c r="E80" i="1"/>
  <c r="E116" i="1"/>
  <c r="H115" i="1"/>
  <c r="G115" i="1"/>
  <c r="I115" i="1" s="1"/>
  <c r="H145" i="1"/>
  <c r="G145" i="1"/>
  <c r="I145" i="1" s="1"/>
  <c r="I234" i="1"/>
  <c r="H251" i="1"/>
  <c r="G251" i="1"/>
  <c r="I251" i="1" s="1"/>
  <c r="H86" i="1"/>
  <c r="G86" i="1"/>
  <c r="I86" i="1" s="1"/>
  <c r="H121" i="1"/>
  <c r="G121" i="1"/>
  <c r="I121" i="1" s="1"/>
  <c r="E122" i="1"/>
  <c r="G125" i="1"/>
  <c r="I125" i="1" s="1"/>
  <c r="I159" i="1"/>
  <c r="H172" i="1"/>
  <c r="G172" i="1"/>
  <c r="I186" i="1"/>
  <c r="G19" i="1"/>
  <c r="I19" i="1" s="1"/>
  <c r="H19" i="1"/>
  <c r="G79" i="1"/>
  <c r="I79" i="1" s="1"/>
  <c r="G85" i="1"/>
  <c r="I205" i="1"/>
  <c r="E246" i="1"/>
  <c r="H245" i="1"/>
  <c r="G245" i="1"/>
  <c r="I245" i="1" s="1"/>
  <c r="G266" i="1"/>
  <c r="I266" i="1" s="1"/>
  <c r="H266" i="1"/>
  <c r="F7" i="1"/>
  <c r="H7" i="1" s="1"/>
  <c r="I7" i="1" s="1"/>
  <c r="G44" i="1"/>
  <c r="I44" i="1" s="1"/>
  <c r="H85" i="1"/>
  <c r="F115" i="1"/>
  <c r="H108" i="1"/>
  <c r="G108" i="1"/>
  <c r="I108" i="1" s="1"/>
  <c r="E136" i="1"/>
  <c r="H135" i="1"/>
  <c r="G135" i="1"/>
  <c r="I135" i="1" s="1"/>
  <c r="H187" i="1"/>
  <c r="I187" i="1" s="1"/>
  <c r="H206" i="1"/>
  <c r="G206" i="1"/>
  <c r="H196" i="1"/>
  <c r="I196" i="1" s="1"/>
  <c r="H205" i="1"/>
  <c r="H227" i="1"/>
  <c r="I227" i="1" s="1"/>
  <c r="H234" i="1"/>
  <c r="H236" i="1"/>
  <c r="H253" i="1"/>
  <c r="I253" i="1" s="1"/>
  <c r="G104" i="1"/>
  <c r="I104" i="1" s="1"/>
  <c r="E176" i="1"/>
  <c r="F199" i="1"/>
  <c r="E239" i="1"/>
  <c r="E260" i="1"/>
  <c r="E269" i="1"/>
  <c r="E282" i="1"/>
  <c r="E297" i="1"/>
  <c r="G254" i="1"/>
  <c r="G265" i="1"/>
  <c r="I265" i="1" s="1"/>
  <c r="H254" i="1"/>
  <c r="H265" i="1"/>
  <c r="G175" i="1"/>
  <c r="I175" i="1" s="1"/>
  <c r="G238" i="1"/>
  <c r="I238" i="1" s="1"/>
  <c r="G268" i="1"/>
  <c r="I268" i="1" s="1"/>
  <c r="G281" i="1"/>
  <c r="I281" i="1" s="1"/>
  <c r="G296" i="1"/>
  <c r="I296" i="1" s="1"/>
  <c r="F247" i="1" l="1"/>
  <c r="E298" i="1"/>
  <c r="H297" i="1"/>
  <c r="G297" i="1"/>
  <c r="I297" i="1" s="1"/>
  <c r="E283" i="1"/>
  <c r="H282" i="1"/>
  <c r="G282" i="1"/>
  <c r="I282" i="1" s="1"/>
  <c r="I85" i="1"/>
  <c r="F91" i="1"/>
  <c r="H80" i="1"/>
  <c r="G80" i="1"/>
  <c r="I80" i="1" s="1"/>
  <c r="E74" i="1"/>
  <c r="H73" i="1"/>
  <c r="G73" i="1"/>
  <c r="I73" i="1" s="1"/>
  <c r="E270" i="1"/>
  <c r="H269" i="1"/>
  <c r="G269" i="1"/>
  <c r="I269" i="1" s="1"/>
  <c r="H62" i="1"/>
  <c r="G62" i="1"/>
  <c r="I62" i="1" s="1"/>
  <c r="H260" i="1"/>
  <c r="G260" i="1"/>
  <c r="H122" i="1"/>
  <c r="G122" i="1"/>
  <c r="I122" i="1" s="1"/>
  <c r="I162" i="1"/>
  <c r="I290" i="1"/>
  <c r="I181" i="1"/>
  <c r="H56" i="1"/>
  <c r="G56" i="1"/>
  <c r="F67" i="1"/>
  <c r="I20" i="1"/>
  <c r="H213" i="1"/>
  <c r="G213" i="1"/>
  <c r="I213" i="1" s="1"/>
  <c r="I255" i="1"/>
  <c r="H163" i="1"/>
  <c r="G163" i="1"/>
  <c r="I163" i="1" s="1"/>
  <c r="O15" i="1"/>
  <c r="O16" i="1" s="1"/>
  <c r="G116" i="1"/>
  <c r="F127" i="1"/>
  <c r="H116" i="1"/>
  <c r="H239" i="1"/>
  <c r="G239" i="1"/>
  <c r="I239" i="1" s="1"/>
  <c r="G136" i="1"/>
  <c r="H136" i="1"/>
  <c r="E137" i="1"/>
  <c r="E97" i="1"/>
  <c r="F103" i="1"/>
  <c r="H96" i="1"/>
  <c r="G96" i="1"/>
  <c r="H25" i="1"/>
  <c r="E26" i="1"/>
  <c r="G25" i="1"/>
  <c r="I25" i="1" s="1"/>
  <c r="I254" i="1"/>
  <c r="H176" i="1"/>
  <c r="F187" i="1"/>
  <c r="G176" i="1"/>
  <c r="F163" i="1"/>
  <c r="H12" i="1"/>
  <c r="G12" i="1"/>
  <c r="I12" i="1" s="1"/>
  <c r="E13" i="1"/>
  <c r="I206" i="1"/>
  <c r="E247" i="1"/>
  <c r="H246" i="1"/>
  <c r="G246" i="1"/>
  <c r="I246" i="1" s="1"/>
  <c r="I172" i="1"/>
  <c r="I149" i="1"/>
  <c r="I17" i="1"/>
  <c r="I11" i="1"/>
  <c r="E223" i="1"/>
  <c r="F223" i="1" s="1"/>
  <c r="G222" i="1"/>
  <c r="I222" i="1" s="1"/>
  <c r="H222" i="1"/>
  <c r="G283" i="1" l="1"/>
  <c r="I283" i="1" s="1"/>
  <c r="E284" i="1"/>
  <c r="H283" i="1"/>
  <c r="O29" i="1"/>
  <c r="H298" i="1"/>
  <c r="G298" i="1"/>
  <c r="E299" i="1"/>
  <c r="I116" i="1"/>
  <c r="I136" i="1"/>
  <c r="I260" i="1"/>
  <c r="E224" i="1"/>
  <c r="G223" i="1"/>
  <c r="H223" i="1"/>
  <c r="G74" i="1"/>
  <c r="H74" i="1"/>
  <c r="H13" i="1"/>
  <c r="G13" i="1"/>
  <c r="I13" i="1" s="1"/>
  <c r="F19" i="1"/>
  <c r="H97" i="1"/>
  <c r="G97" i="1"/>
  <c r="I97" i="1" s="1"/>
  <c r="H137" i="1"/>
  <c r="G137" i="1"/>
  <c r="I137" i="1" s="1"/>
  <c r="F139" i="1"/>
  <c r="H26" i="1"/>
  <c r="G26" i="1"/>
  <c r="E27" i="1"/>
  <c r="H270" i="1"/>
  <c r="G270" i="1"/>
  <c r="I270" i="1" s="1"/>
  <c r="E271" i="1"/>
  <c r="E248" i="1"/>
  <c r="H247" i="1"/>
  <c r="G247" i="1"/>
  <c r="I247" i="1" s="1"/>
  <c r="I176" i="1"/>
  <c r="I96" i="1"/>
  <c r="I56" i="1"/>
  <c r="F271" i="1"/>
  <c r="F79" i="1"/>
  <c r="E300" i="1" l="1"/>
  <c r="H299" i="1"/>
  <c r="G299" i="1"/>
  <c r="I299" i="1" s="1"/>
  <c r="H248" i="1"/>
  <c r="F259" i="1"/>
  <c r="G248" i="1"/>
  <c r="I248" i="1" s="1"/>
  <c r="E272" i="1"/>
  <c r="H271" i="1"/>
  <c r="G271" i="1"/>
  <c r="I271" i="1" s="1"/>
  <c r="I74" i="1"/>
  <c r="I298" i="1"/>
  <c r="Q29" i="1"/>
  <c r="P29" i="1"/>
  <c r="I223" i="1"/>
  <c r="H27" i="1"/>
  <c r="E28" i="1"/>
  <c r="G27" i="1"/>
  <c r="F31" i="1"/>
  <c r="M6" i="1"/>
  <c r="N6" i="1" s="1"/>
  <c r="H224" i="1"/>
  <c r="F235" i="1"/>
  <c r="G224" i="1"/>
  <c r="I224" i="1" s="1"/>
  <c r="I26" i="1"/>
  <c r="H284" i="1"/>
  <c r="G284" i="1"/>
  <c r="I284" i="1" s="1"/>
  <c r="F295" i="1"/>
  <c r="G272" i="1" l="1"/>
  <c r="I272" i="1" s="1"/>
  <c r="F283" i="1"/>
  <c r="H272" i="1"/>
  <c r="M7" i="1"/>
  <c r="N7" i="1" s="1"/>
  <c r="O30" i="1"/>
  <c r="N8" i="1"/>
  <c r="H300" i="1"/>
  <c r="G300" i="1"/>
  <c r="E301" i="1"/>
  <c r="I27" i="1"/>
  <c r="H28" i="1"/>
  <c r="G28" i="1"/>
  <c r="I28" i="1" s="1"/>
  <c r="Q36" i="1" l="1"/>
  <c r="Q37" i="1" s="1"/>
  <c r="O36" i="1"/>
  <c r="P36" i="1" s="1"/>
  <c r="P37" i="1" s="1"/>
  <c r="Q31" i="1"/>
  <c r="P30" i="1"/>
  <c r="P31" i="1" s="1"/>
  <c r="E302" i="1"/>
  <c r="H301" i="1"/>
  <c r="G301" i="1"/>
  <c r="I301" i="1" s="1"/>
  <c r="I300" i="1"/>
  <c r="H302" i="1" l="1"/>
  <c r="G302" i="1"/>
  <c r="E303" i="1"/>
  <c r="Q42" i="1"/>
  <c r="Q43" i="1"/>
  <c r="Q45" i="1" s="1"/>
  <c r="Q53" i="1" l="1"/>
  <c r="Q54" i="1" s="1"/>
  <c r="E304" i="1"/>
  <c r="H303" i="1"/>
  <c r="G303" i="1"/>
  <c r="I302" i="1"/>
  <c r="Q55" i="1" l="1"/>
  <c r="Q56" i="1" s="1"/>
  <c r="Q58" i="1" s="1"/>
  <c r="Q60" i="1" s="1"/>
  <c r="I303" i="1"/>
  <c r="H304" i="1"/>
  <c r="G304" i="1"/>
  <c r="I304" i="1" s="1"/>
  <c r="E305" i="1"/>
  <c r="Q61" i="1" l="1"/>
  <c r="Q62" i="1" s="1"/>
  <c r="Q63" i="1" s="1"/>
  <c r="Q64" i="1" s="1"/>
  <c r="E306" i="1"/>
  <c r="H305" i="1"/>
  <c r="G305" i="1"/>
  <c r="I305" i="1" s="1"/>
  <c r="H306" i="1" l="1"/>
  <c r="G306" i="1"/>
  <c r="E307" i="1"/>
  <c r="E308" i="1" l="1"/>
  <c r="H307" i="1"/>
  <c r="G307" i="1"/>
  <c r="I307" i="1" s="1"/>
  <c r="F307" i="1"/>
  <c r="I306" i="1"/>
  <c r="G308" i="1" l="1"/>
  <c r="E309" i="1"/>
  <c r="H308" i="1"/>
  <c r="E310" i="1" l="1"/>
  <c r="H309" i="1"/>
  <c r="G309" i="1"/>
  <c r="I308" i="1"/>
  <c r="G310" i="1" l="1"/>
  <c r="E311" i="1"/>
  <c r="H310" i="1"/>
  <c r="I309" i="1"/>
  <c r="E312" i="1" l="1"/>
  <c r="H311" i="1"/>
  <c r="G311" i="1"/>
  <c r="I311" i="1" s="1"/>
  <c r="I310" i="1"/>
  <c r="G312" i="1" l="1"/>
  <c r="E313" i="1"/>
  <c r="H312" i="1"/>
  <c r="E314" i="1" l="1"/>
  <c r="H313" i="1"/>
  <c r="G313" i="1"/>
  <c r="I313" i="1" s="1"/>
  <c r="I312" i="1"/>
  <c r="G314" i="1" l="1"/>
  <c r="I314" i="1" s="1"/>
  <c r="E315" i="1"/>
  <c r="H314" i="1"/>
  <c r="E316" i="1" l="1"/>
  <c r="H315" i="1"/>
  <c r="G315" i="1"/>
  <c r="I315" i="1" s="1"/>
  <c r="G316" i="1" l="1"/>
  <c r="I316" i="1" s="1"/>
  <c r="E317" i="1"/>
  <c r="H316" i="1"/>
  <c r="E318" i="1" l="1"/>
  <c r="H317" i="1"/>
  <c r="G317" i="1"/>
  <c r="I317" i="1" s="1"/>
  <c r="G318" i="1" l="1"/>
  <c r="I318" i="1" s="1"/>
  <c r="E319" i="1"/>
  <c r="H318" i="1"/>
  <c r="E320" i="1" l="1"/>
  <c r="H319" i="1"/>
  <c r="G319" i="1"/>
  <c r="I319" i="1" s="1"/>
  <c r="F319" i="1"/>
  <c r="E321" i="1" l="1"/>
  <c r="H320" i="1"/>
  <c r="G320" i="1"/>
  <c r="I320" i="1" s="1"/>
  <c r="E322" i="1" l="1"/>
  <c r="H321" i="1"/>
  <c r="G321" i="1"/>
  <c r="I321" i="1" s="1"/>
  <c r="E323" i="1" l="1"/>
  <c r="H322" i="1"/>
  <c r="G322" i="1"/>
  <c r="I322" i="1" s="1"/>
  <c r="E324" i="1" l="1"/>
  <c r="H323" i="1"/>
  <c r="G323" i="1"/>
  <c r="I323" i="1" s="1"/>
  <c r="E325" i="1" l="1"/>
  <c r="H324" i="1"/>
  <c r="G324" i="1"/>
  <c r="I324" i="1" s="1"/>
  <c r="E326" i="1" l="1"/>
  <c r="H325" i="1"/>
  <c r="G325" i="1"/>
  <c r="I325" i="1" s="1"/>
  <c r="E327" i="1" l="1"/>
  <c r="H326" i="1"/>
  <c r="G326" i="1"/>
  <c r="I326" i="1" s="1"/>
  <c r="E328" i="1" l="1"/>
  <c r="H327" i="1"/>
  <c r="G327" i="1"/>
  <c r="I327" i="1" l="1"/>
  <c r="E329" i="1"/>
  <c r="H328" i="1"/>
  <c r="G328" i="1"/>
  <c r="I328" i="1" s="1"/>
  <c r="E330" i="1" l="1"/>
  <c r="H329" i="1"/>
  <c r="G329" i="1"/>
  <c r="I329" i="1" s="1"/>
  <c r="E331" i="1" l="1"/>
  <c r="H330" i="1"/>
  <c r="G330" i="1"/>
  <c r="I330" i="1" s="1"/>
  <c r="H331" i="1" l="1"/>
  <c r="G331" i="1"/>
  <c r="F331" i="1"/>
  <c r="I331" i="1" l="1"/>
</calcChain>
</file>

<file path=xl/sharedStrings.xml><?xml version="1.0" encoding="utf-8"?>
<sst xmlns="http://schemas.openxmlformats.org/spreadsheetml/2006/main" count="142" uniqueCount="125">
  <si>
    <t>UAN</t>
  </si>
  <si>
    <t>Name</t>
  </si>
  <si>
    <t>Tejinder Singh Bawa</t>
  </si>
  <si>
    <t>month id</t>
  </si>
  <si>
    <t>FY</t>
  </si>
  <si>
    <t xml:space="preserve">MONTH </t>
  </si>
  <si>
    <t>DUE MONTH</t>
  </si>
  <si>
    <t>WAGES</t>
  </si>
  <si>
    <t>yearly wage</t>
  </si>
  <si>
    <t>Due</t>
  </si>
  <si>
    <t>Paid</t>
  </si>
  <si>
    <t>Payable</t>
  </si>
  <si>
    <t>Average Wages</t>
  </si>
  <si>
    <t>Pension</t>
  </si>
  <si>
    <t>Average 1995-2014</t>
  </si>
  <si>
    <t>1995-96</t>
  </si>
  <si>
    <t>Average 2014-2019</t>
  </si>
  <si>
    <t>Total</t>
  </si>
  <si>
    <t>8.33% Arrears As on 31st March 2023</t>
  </si>
  <si>
    <t>1.16% Arrears As on 31st March 2023</t>
  </si>
  <si>
    <t>Interest Till 31st March,2024@8.25</t>
  </si>
  <si>
    <t xml:space="preserve">Total Due </t>
  </si>
  <si>
    <t>Till 31st March,2024</t>
  </si>
  <si>
    <t>Interest Till 31st July,2024@8.25</t>
  </si>
  <si>
    <t xml:space="preserve">Total Due  </t>
  </si>
  <si>
    <t>Till 31st July,2024</t>
  </si>
  <si>
    <t>A)</t>
  </si>
  <si>
    <t xml:space="preserve">Basic Ceiling of Rs 6500 wef </t>
  </si>
  <si>
    <t>1996-97</t>
  </si>
  <si>
    <t>B)</t>
  </si>
  <si>
    <t xml:space="preserve">Basic Ceiling of Rs 15000 wef </t>
  </si>
  <si>
    <t>No of Days Between Above</t>
  </si>
  <si>
    <t>C)</t>
  </si>
  <si>
    <t>Date of Retirement As per EPF</t>
  </si>
  <si>
    <t>No of Day C)-B)</t>
  </si>
  <si>
    <t>No of Days As Per EPF From 16/11/1995 to 31/8/2014</t>
  </si>
  <si>
    <t>No of Days As Per EPF From 01/9/2014 to 31/12/2019</t>
  </si>
  <si>
    <t>2 Years Additional</t>
  </si>
  <si>
    <t>Pension  wrt Years</t>
  </si>
  <si>
    <t>Pension  wrt Days</t>
  </si>
  <si>
    <t>Average Wages 5 Years Pre-2014</t>
  </si>
  <si>
    <t>Average Wages 5 Years Pre-2019</t>
  </si>
  <si>
    <t>1997-98</t>
  </si>
  <si>
    <t>Pension as per Video</t>
  </si>
  <si>
    <t>Max Salary Prior to 1/9/2014 post 1995</t>
  </si>
  <si>
    <t>Arrears Till 58 Years of Age (8.33%)</t>
  </si>
  <si>
    <t>Arrears Till 58 Years of Age (1.16%)</t>
  </si>
  <si>
    <t>Arrears Till 58 Years of Age</t>
  </si>
  <si>
    <t>Differential Amount of Pension</t>
  </si>
  <si>
    <t>1998-99</t>
  </si>
  <si>
    <t>Higher Pension Amount Received From 1-Jan-2020 to 30-Sep-2024</t>
  </si>
  <si>
    <t>Original Pension Amount Received From 1-Jan-2020 to 30-Sep-2024</t>
  </si>
  <si>
    <t>Arrears Amount Received From 1-Jan-2020 to 30-Sep-2024</t>
  </si>
  <si>
    <t>Tax Calculation On Arrears (New Regime, FY 2024-25)</t>
  </si>
  <si>
    <t>₹3,00,001 - ₹7,00,000: 5%</t>
  </si>
  <si>
    <t>₹7,00,001 - ₹10,00,000: 10%</t>
  </si>
  <si>
    <t>₹10,00,001 - ₹12,00,000: 15%</t>
  </si>
  <si>
    <t>₹12,00,001 - ₹15,00,000: 20%</t>
  </si>
  <si>
    <t>₹15,00,001 and above: 30%.</t>
  </si>
  <si>
    <t>Tax</t>
  </si>
  <si>
    <t>1999-00</t>
  </si>
  <si>
    <t>Cess 4%</t>
  </si>
  <si>
    <t>Total Tax Payable On Higher Pension</t>
  </si>
  <si>
    <t>Net Arrears Received of Higher Pension After Tax Deduction</t>
  </si>
  <si>
    <t>Balance Amount to Be Recovered From Demand of Rs 35.5 Lakh EPF</t>
  </si>
  <si>
    <t>FD Interest @8% Receivable Per Month On Above Amount</t>
  </si>
  <si>
    <t>Difference of Pension and FD</t>
  </si>
  <si>
    <t>No of Months Taken to Recover Amount of Rs 35.5 Lakh Given to EPF</t>
  </si>
  <si>
    <t>No of Years</t>
  </si>
  <si>
    <t>2000-01</t>
  </si>
  <si>
    <t>Break Even Age to Recover This Loss</t>
  </si>
  <si>
    <t>2001-02</t>
  </si>
  <si>
    <t>2002-03</t>
  </si>
  <si>
    <t>2003-04</t>
  </si>
  <si>
    <t>2004-05</t>
  </si>
  <si>
    <t>Withdrawal Amount = (A × r) / [n × {1 - (1 + r)^(-nt)}]</t>
  </si>
  <si>
    <t>Where:</t>
  </si>
  <si>
    <r>
      <t>A =</t>
    </r>
    <r>
      <rPr>
        <sz val="10"/>
        <color rgb="FF253858"/>
        <rFont val="Segoe UI"/>
        <family val="2"/>
      </rPr>
      <t> Initial Investment Amount</t>
    </r>
  </si>
  <si>
    <r>
      <t>R =</t>
    </r>
    <r>
      <rPr>
        <sz val="10"/>
        <color rgb="FF253858"/>
        <rFont val="Segoe UI"/>
        <family val="2"/>
      </rPr>
      <t> Expected Rate of Return</t>
    </r>
  </si>
  <si>
    <r>
      <t>n =</t>
    </r>
    <r>
      <rPr>
        <sz val="10"/>
        <color rgb="FF253858"/>
        <rFont val="Segoe UI"/>
        <family val="2"/>
      </rPr>
      <t> Number of Annual Withdrawals</t>
    </r>
  </si>
  <si>
    <r>
      <t>t =</t>
    </r>
    <r>
      <rPr>
        <sz val="10"/>
        <color rgb="FF253858"/>
        <rFont val="Segoe UI"/>
        <family val="2"/>
      </rPr>
      <t> Investment Tenure (in years)</t>
    </r>
  </si>
  <si>
    <t>The SWP calculator will provide you with the following values:</t>
  </si>
  <si>
    <t>Total Investment Amount</t>
  </si>
  <si>
    <t>Total Withdrawal Amount</t>
  </si>
  <si>
    <t>Final Value in the Fund</t>
  </si>
  <si>
    <t>2005-06</t>
  </si>
  <si>
    <t xml:space="preserve">Withdrawal Amount </t>
  </si>
  <si>
    <t>= (A × r) / [n × {1 - (1 + r)^(-nt)}]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</si>
  <si>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</si>
  <si>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</si>
  <si>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</si>
  <si>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</si>
  <si>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</si>
  <si>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</si>
  <si>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</si>
  <si>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</si>
  <si>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</si>
  <si>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</si>
  <si>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</si>
  <si>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</si>
  <si>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</si>
  <si>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</si>
  <si>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</si>
  <si>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</si>
  <si>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</si>
  <si>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Demand Deposited</t>
  </si>
  <si>
    <t>2014 Avg 12M</t>
  </si>
  <si>
    <t>2019 Avg 60M</t>
  </si>
  <si>
    <t>Days after 2014</t>
  </si>
  <si>
    <t>Days before 2014</t>
  </si>
  <si>
    <t>2Y Days</t>
  </si>
  <si>
    <t>Avg Wages</t>
  </si>
  <si>
    <t>Before 1995</t>
  </si>
  <si>
    <t>Period</t>
  </si>
  <si>
    <t>2014 Avg Wages (12M)</t>
  </si>
  <si>
    <t>2019 Avg Wages (60M)</t>
  </si>
  <si>
    <t>Salary date</t>
  </si>
  <si>
    <t>Salary month</t>
  </si>
  <si>
    <t>NA</t>
  </si>
  <si>
    <t>Higher Pension</t>
  </si>
  <si>
    <t>Low Pension</t>
  </si>
  <si>
    <t>Difference</t>
  </si>
  <si>
    <t>Arreas (Before Tax)</t>
  </si>
  <si>
    <t>Arrers (Net of Tax)</t>
  </si>
  <si>
    <t>Ney Money given to EPF/Govt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</si>
</sst>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dd/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253858"/>
      <name val="Segoe UI"/>
      <family val="2"/>
    </font>
    <font>
      <sz val="10"/>
      <color rgb="FF25385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1" applyNumberFormat="1" applyFont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3" borderId="1" xfId="1" applyNumberFormat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2" borderId="1" xfId="0" applyFill="1" applyBorder="1" applyAlignment="1">
      <alignment vertical="top"/>
    </xf>
    <xf numFmtId="17" fontId="0" fillId="2" borderId="1" xfId="0" applyNumberFormat="1" applyFill="1" applyBorder="1" applyAlignment="1">
      <alignment vertical="top"/>
    </xf>
    <xf numFmtId="164" fontId="0" fillId="3" borderId="1" xfId="1" applyNumberFormat="1" applyFont="1" applyFill="1" applyBorder="1" applyAlignment="1">
      <alignment vertical="top"/>
    </xf>
    <xf numFmtId="164" fontId="0" fillId="2" borderId="1" xfId="1" applyNumberFormat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3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vertical="top"/>
    </xf>
    <xf numFmtId="17" fontId="2" fillId="2" borderId="1" xfId="0" applyNumberFormat="1" applyFont="1" applyFill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65" fontId="0" fillId="0" borderId="1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4" xfId="0" applyBorder="1" applyAlignment="1">
      <alignment horizontal="right" vertical="top"/>
    </xf>
    <xf numFmtId="0" fontId="2" fillId="0" borderId="1" xfId="0" applyFont="1" applyBorder="1" applyAlignment="1">
      <alignment vertical="top" wrapText="1"/>
    </xf>
    <xf numFmtId="164" fontId="2" fillId="0" borderId="1" xfId="1" applyNumberFormat="1" applyFont="1" applyBorder="1" applyAlignment="1">
      <alignment vertical="top" wrapText="1"/>
    </xf>
    <xf numFmtId="164" fontId="2" fillId="0" borderId="1" xfId="1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3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right" vertical="top"/>
    </xf>
    <xf numFmtId="164" fontId="0" fillId="0" borderId="6" xfId="1" applyNumberFormat="1" applyFont="1" applyBorder="1" applyAlignment="1">
      <alignment vertical="top"/>
    </xf>
    <xf numFmtId="164" fontId="0" fillId="0" borderId="5" xfId="1" applyNumberFormat="1" applyFont="1" applyBorder="1" applyAlignment="1">
      <alignment horizontal="right" vertical="top"/>
    </xf>
    <xf numFmtId="164" fontId="0" fillId="0" borderId="1" xfId="0" applyNumberFormat="1" applyBorder="1"/>
    <xf numFmtId="164" fontId="0" fillId="0" borderId="1" xfId="1" applyNumberFormat="1" applyFont="1" applyBorder="1"/>
    <xf numFmtId="164" fontId="0" fillId="0" borderId="5" xfId="1" applyNumberFormat="1" applyFont="1" applyBorder="1" applyAlignment="1">
      <alignment vertical="top"/>
    </xf>
    <xf numFmtId="164" fontId="0" fillId="0" borderId="1" xfId="0" applyNumberFormat="1" applyFont="1" applyBorder="1"/>
    <xf numFmtId="164" fontId="0" fillId="0" borderId="6" xfId="1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center"/>
    </xf>
    <xf numFmtId="164" fontId="0" fillId="0" borderId="3" xfId="1" applyNumberFormat="1" applyFont="1" applyBorder="1" applyAlignment="1">
      <alignment vertical="top"/>
    </xf>
    <xf numFmtId="0" fontId="0" fillId="0" borderId="7" xfId="0" applyBorder="1" applyAlignment="1">
      <alignment horizontal="right" vertical="top"/>
    </xf>
    <xf numFmtId="43" fontId="0" fillId="0" borderId="1" xfId="1" applyNumberFormat="1" applyFont="1" applyBorder="1" applyAlignment="1">
      <alignment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" fontId="0" fillId="0" borderId="0" xfId="2" applyNumberFormat="1" applyFont="1" applyAlignment="1">
      <alignment vertical="top"/>
    </xf>
    <xf numFmtId="0" fontId="7" fillId="0" borderId="0" xfId="0" applyFont="1" applyAlignment="1">
      <alignment horizontal="left" vertical="center"/>
    </xf>
    <xf numFmtId="164" fontId="0" fillId="0" borderId="0" xfId="1" applyNumberFormat="1" applyFont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top"/>
    </xf>
    <xf numFmtId="164" fontId="3" fillId="4" borderId="1" xfId="1" applyNumberFormat="1" applyFont="1" applyFill="1" applyBorder="1" applyAlignment="1">
      <alignment vertical="top"/>
    </xf>
    <xf numFmtId="164" fontId="2" fillId="0" borderId="1" xfId="1" applyNumberFormat="1" applyFont="1" applyBorder="1"/>
    <xf numFmtId="0" fontId="0" fillId="0" borderId="1" xfId="0" applyFill="1" applyBorder="1" applyAlignment="1">
      <alignment vertical="top"/>
    </xf>
    <xf numFmtId="164" fontId="3" fillId="4" borderId="1" xfId="1" applyNumberFormat="1" applyFont="1" applyFill="1" applyBorder="1"/>
    <xf numFmtId="0" fontId="5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SBPensionRefundCalculator_8_33_and_1_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ge Entry"/>
      <sheetName val="Calculation Sheet(8.33%)"/>
      <sheetName val="Summary (8.33%)"/>
      <sheetName val="Calculation Sheet (1.16__Mem)"/>
      <sheetName val="Summary (1.16%__Mem)"/>
      <sheetName val="SWP"/>
      <sheetName val="Sheet3"/>
    </sheetNames>
    <sheetDataSet>
      <sheetData sheetId="0"/>
      <sheetData sheetId="1"/>
      <sheetData sheetId="2">
        <row r="30">
          <cell r="F30">
            <v>211192</v>
          </cell>
        </row>
        <row r="31">
          <cell r="F31">
            <v>229708</v>
          </cell>
        </row>
        <row r="33">
          <cell r="F33">
            <v>3048210</v>
          </cell>
        </row>
      </sheetData>
      <sheetData sheetId="3"/>
      <sheetData sheetId="4">
        <row r="29">
          <cell r="F29">
            <v>9835</v>
          </cell>
        </row>
        <row r="30">
          <cell r="F30">
            <v>10169</v>
          </cell>
        </row>
        <row r="31">
          <cell r="F31">
            <v>11060</v>
          </cell>
        </row>
        <row r="33">
          <cell r="F33">
            <v>146767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E1" zoomScale="130" zoomScaleNormal="130" workbookViewId="0">
      <pane ySplit="3" topLeftCell="A36" activePane="bottomLeft" state="frozen"/>
      <selection pane="bottomLeft" activeCell="N36" sqref="N36"/>
    </sheetView>
  </sheetViews>
  <sheetFormatPr defaultRowHeight="14.4" x14ac:dyDescent="0.3"/>
  <cols>
    <col min="1" max="1" width="8.88671875" style="1"/>
    <col min="2" max="2" width="13.109375" style="1" bestFit="1" customWidth="1"/>
    <col min="3" max="4" width="8.88671875" style="1"/>
    <col min="5" max="5" width="11.33203125" style="3" bestFit="1" customWidth="1"/>
    <col min="6" max="6" width="12.6640625" style="3" customWidth="1"/>
    <col min="7" max="7" width="9.88671875" style="3" bestFit="1" customWidth="1"/>
    <col min="8" max="8" width="9" style="3" bestFit="1" customWidth="1"/>
    <col min="9" max="9" width="9.88671875" style="3" bestFit="1" customWidth="1"/>
    <col min="10" max="10" width="8.88671875" style="1"/>
    <col min="11" max="11" width="10.109375" style="1" customWidth="1"/>
    <col min="12" max="12" width="10.88671875" style="1" customWidth="1"/>
    <col min="13" max="13" width="13.88671875" style="1" customWidth="1"/>
    <col min="14" max="14" width="12.44140625" style="1" customWidth="1"/>
    <col min="15" max="15" width="11" style="3" customWidth="1"/>
    <col min="16" max="16" width="9.88671875" style="1" bestFit="1" customWidth="1"/>
    <col min="17" max="17" width="12.44140625" style="3" customWidth="1"/>
    <col min="18" max="18" width="9.77734375" style="1" bestFit="1" customWidth="1"/>
    <col min="19" max="16384" width="8.88671875" style="1"/>
  </cols>
  <sheetData>
    <row r="1" spans="1:17" x14ac:dyDescent="0.3">
      <c r="A1" s="1" t="s">
        <v>0</v>
      </c>
      <c r="B1" s="2">
        <v>100390287165</v>
      </c>
    </row>
    <row r="2" spans="1:17" x14ac:dyDescent="0.3">
      <c r="A2" s="1" t="s">
        <v>1</v>
      </c>
      <c r="B2" s="1" t="s">
        <v>2</v>
      </c>
    </row>
    <row r="3" spans="1:17" s="7" customFormat="1" ht="57.45" customHeight="1" x14ac:dyDescent="0.3">
      <c r="A3" s="4" t="s">
        <v>3</v>
      </c>
      <c r="B3" s="4" t="s">
        <v>4</v>
      </c>
      <c r="C3" s="4" t="s">
        <v>5</v>
      </c>
      <c r="D3" s="4" t="s">
        <v>6</v>
      </c>
      <c r="E3" s="5" t="s">
        <v>7</v>
      </c>
      <c r="F3" s="6" t="s">
        <v>8</v>
      </c>
      <c r="G3" s="6" t="s">
        <v>9</v>
      </c>
      <c r="H3" s="6" t="s">
        <v>10</v>
      </c>
      <c r="I3" s="6" t="s">
        <v>11</v>
      </c>
      <c r="O3" s="8"/>
      <c r="Q3" s="8"/>
    </row>
    <row r="4" spans="1:17" x14ac:dyDescent="0.3">
      <c r="A4" s="9">
        <v>9</v>
      </c>
      <c r="B4" s="9"/>
      <c r="C4" s="10">
        <v>35004</v>
      </c>
      <c r="D4" s="10">
        <v>35034</v>
      </c>
      <c r="E4" s="11">
        <v>7480</v>
      </c>
      <c r="F4" s="12"/>
      <c r="G4" s="12">
        <f t="shared" ref="G4:H67" si="0">ROUND(E4*8.33%,0)</f>
        <v>623</v>
      </c>
      <c r="H4" s="12">
        <f>IF(E4=0,0,209)</f>
        <v>209</v>
      </c>
      <c r="I4" s="12">
        <f>MAX(G4-H4,0)</f>
        <v>414</v>
      </c>
    </row>
    <row r="5" spans="1:17" x14ac:dyDescent="0.3">
      <c r="A5" s="9">
        <v>10</v>
      </c>
      <c r="B5" s="9"/>
      <c r="C5" s="10">
        <v>35034</v>
      </c>
      <c r="D5" s="10">
        <v>35065</v>
      </c>
      <c r="E5" s="11">
        <v>7480</v>
      </c>
      <c r="F5" s="12"/>
      <c r="G5" s="12">
        <f t="shared" si="0"/>
        <v>623</v>
      </c>
      <c r="H5" s="12">
        <f t="shared" ref="H5:H6" si="1">IF(E5=0,0,417)</f>
        <v>417</v>
      </c>
      <c r="I5" s="12">
        <f t="shared" ref="I5:I68" si="2">MAX(G5-H5,0)</f>
        <v>206</v>
      </c>
      <c r="M5" s="13" t="s">
        <v>12</v>
      </c>
      <c r="N5" s="13" t="s">
        <v>13</v>
      </c>
    </row>
    <row r="6" spans="1:17" x14ac:dyDescent="0.3">
      <c r="A6" s="9">
        <v>11</v>
      </c>
      <c r="B6" s="9"/>
      <c r="C6" s="10">
        <v>35065</v>
      </c>
      <c r="D6" s="10">
        <v>35096</v>
      </c>
      <c r="E6" s="11">
        <v>7726</v>
      </c>
      <c r="F6" s="12"/>
      <c r="G6" s="12">
        <f t="shared" si="0"/>
        <v>644</v>
      </c>
      <c r="H6" s="12">
        <f t="shared" si="1"/>
        <v>417</v>
      </c>
      <c r="I6" s="12">
        <f t="shared" si="2"/>
        <v>227</v>
      </c>
      <c r="K6" s="14" t="s">
        <v>14</v>
      </c>
      <c r="L6" s="14"/>
      <c r="M6" s="15">
        <f>AVERAGE(E4:E229)</f>
        <v>37597.411504424781</v>
      </c>
      <c r="N6" s="16">
        <f>(19+2)/70*M6</f>
        <v>11279.223451327434</v>
      </c>
    </row>
    <row r="7" spans="1:17" x14ac:dyDescent="0.3">
      <c r="A7" s="17">
        <v>12</v>
      </c>
      <c r="B7" s="17" t="s">
        <v>15</v>
      </c>
      <c r="C7" s="18">
        <v>35096</v>
      </c>
      <c r="D7" s="18">
        <v>35125</v>
      </c>
      <c r="E7" s="11">
        <f t="shared" ref="E7:E68" si="3">E6</f>
        <v>7726</v>
      </c>
      <c r="F7" s="12">
        <f>SUM(E4:E7)</f>
        <v>30412</v>
      </c>
      <c r="G7" s="12">
        <f t="shared" si="0"/>
        <v>644</v>
      </c>
      <c r="H7" s="12">
        <f t="shared" si="0"/>
        <v>2533</v>
      </c>
      <c r="I7" s="12">
        <f t="shared" si="2"/>
        <v>0</v>
      </c>
      <c r="K7" s="14" t="s">
        <v>16</v>
      </c>
      <c r="L7" s="14"/>
      <c r="M7" s="15">
        <f>AVERAGE(E229:E293)</f>
        <v>140288.23076923078</v>
      </c>
      <c r="N7" s="16">
        <f>M7*5/70</f>
        <v>10020.587912087913</v>
      </c>
    </row>
    <row r="8" spans="1:17" x14ac:dyDescent="0.3">
      <c r="A8" s="9">
        <v>1</v>
      </c>
      <c r="B8" s="9"/>
      <c r="C8" s="10">
        <v>35125</v>
      </c>
      <c r="D8" s="10">
        <v>35156</v>
      </c>
      <c r="E8" s="11">
        <v>6842</v>
      </c>
      <c r="F8" s="12"/>
      <c r="G8" s="12">
        <f t="shared" si="0"/>
        <v>570</v>
      </c>
      <c r="H8" s="12">
        <f t="shared" ref="H8:H70" si="4">IF(E8=0,0,417)</f>
        <v>417</v>
      </c>
      <c r="I8" s="12">
        <f t="shared" si="2"/>
        <v>153</v>
      </c>
      <c r="M8" s="13" t="s">
        <v>17</v>
      </c>
      <c r="N8" s="19">
        <f>SUM(N6:N7)</f>
        <v>21299.811363415349</v>
      </c>
    </row>
    <row r="9" spans="1:17" x14ac:dyDescent="0.3">
      <c r="A9" s="9">
        <v>2</v>
      </c>
      <c r="B9" s="9"/>
      <c r="C9" s="10">
        <v>35156</v>
      </c>
      <c r="D9" s="10">
        <v>35186</v>
      </c>
      <c r="E9" s="11">
        <v>8098</v>
      </c>
      <c r="F9" s="12"/>
      <c r="G9" s="12">
        <f t="shared" si="0"/>
        <v>675</v>
      </c>
      <c r="H9" s="12">
        <f t="shared" si="4"/>
        <v>417</v>
      </c>
      <c r="I9" s="12">
        <f t="shared" si="2"/>
        <v>258</v>
      </c>
    </row>
    <row r="10" spans="1:17" x14ac:dyDescent="0.3">
      <c r="A10" s="9">
        <v>3</v>
      </c>
      <c r="B10" s="9"/>
      <c r="C10" s="10">
        <v>35186</v>
      </c>
      <c r="D10" s="10">
        <v>35217</v>
      </c>
      <c r="E10" s="11">
        <f t="shared" si="3"/>
        <v>8098</v>
      </c>
      <c r="F10" s="12"/>
      <c r="G10" s="12">
        <f t="shared" si="0"/>
        <v>675</v>
      </c>
      <c r="H10" s="12">
        <f t="shared" si="4"/>
        <v>417</v>
      </c>
      <c r="I10" s="12">
        <f t="shared" si="2"/>
        <v>258</v>
      </c>
      <c r="K10" s="14" t="s">
        <v>18</v>
      </c>
      <c r="L10" s="14"/>
      <c r="M10" s="14"/>
      <c r="N10" s="14"/>
      <c r="O10" s="20">
        <f>'[1]Summary (8.33%)'!F33</f>
        <v>3048210</v>
      </c>
    </row>
    <row r="11" spans="1:17" x14ac:dyDescent="0.3">
      <c r="A11" s="9">
        <v>4</v>
      </c>
      <c r="B11" s="9"/>
      <c r="C11" s="10">
        <v>35217</v>
      </c>
      <c r="D11" s="10">
        <v>35247</v>
      </c>
      <c r="E11" s="11">
        <f t="shared" si="3"/>
        <v>8098</v>
      </c>
      <c r="F11" s="12"/>
      <c r="G11" s="12">
        <f t="shared" si="0"/>
        <v>675</v>
      </c>
      <c r="H11" s="12">
        <f t="shared" si="4"/>
        <v>417</v>
      </c>
      <c r="I11" s="12">
        <f t="shared" si="2"/>
        <v>258</v>
      </c>
      <c r="K11" s="14" t="s">
        <v>19</v>
      </c>
      <c r="L11" s="14"/>
      <c r="M11" s="14"/>
      <c r="N11" s="14"/>
      <c r="O11" s="20">
        <f>'[1]Summary (1.16%__Mem)'!F33</f>
        <v>146767</v>
      </c>
    </row>
    <row r="12" spans="1:17" x14ac:dyDescent="0.3">
      <c r="A12" s="9">
        <v>5</v>
      </c>
      <c r="B12" s="9"/>
      <c r="C12" s="10">
        <v>35247</v>
      </c>
      <c r="D12" s="10">
        <v>35278</v>
      </c>
      <c r="E12" s="11">
        <f t="shared" si="3"/>
        <v>8098</v>
      </c>
      <c r="F12" s="12"/>
      <c r="G12" s="12">
        <f t="shared" si="0"/>
        <v>675</v>
      </c>
      <c r="H12" s="12">
        <f t="shared" si="4"/>
        <v>417</v>
      </c>
      <c r="I12" s="12">
        <f t="shared" si="2"/>
        <v>258</v>
      </c>
      <c r="K12" s="13" t="s">
        <v>17</v>
      </c>
      <c r="L12" s="14"/>
      <c r="M12" s="14"/>
      <c r="N12" s="14"/>
      <c r="O12" s="21">
        <f>SUM(O10:O11)</f>
        <v>3194977</v>
      </c>
    </row>
    <row r="13" spans="1:17" x14ac:dyDescent="0.3">
      <c r="A13" s="9">
        <v>6</v>
      </c>
      <c r="B13" s="9"/>
      <c r="C13" s="10">
        <v>35278</v>
      </c>
      <c r="D13" s="10">
        <v>35309</v>
      </c>
      <c r="E13" s="11">
        <f t="shared" si="3"/>
        <v>8098</v>
      </c>
      <c r="F13" s="12"/>
      <c r="G13" s="12">
        <f t="shared" si="0"/>
        <v>675</v>
      </c>
      <c r="H13" s="12">
        <f t="shared" si="4"/>
        <v>417</v>
      </c>
      <c r="I13" s="12">
        <f t="shared" si="2"/>
        <v>258</v>
      </c>
      <c r="K13" s="14" t="s">
        <v>20</v>
      </c>
      <c r="L13" s="14"/>
      <c r="M13" s="14"/>
      <c r="N13" s="14"/>
      <c r="O13" s="20">
        <f>O12*8.25%</f>
        <v>263585.60250000004</v>
      </c>
    </row>
    <row r="14" spans="1:17" x14ac:dyDescent="0.3">
      <c r="A14" s="9">
        <v>7</v>
      </c>
      <c r="B14" s="9"/>
      <c r="C14" s="10">
        <v>35309</v>
      </c>
      <c r="D14" s="10">
        <v>35339</v>
      </c>
      <c r="E14" s="11">
        <v>10981</v>
      </c>
      <c r="F14" s="12"/>
      <c r="G14" s="12">
        <f t="shared" si="0"/>
        <v>915</v>
      </c>
      <c r="H14" s="12">
        <f t="shared" si="4"/>
        <v>417</v>
      </c>
      <c r="I14" s="12">
        <f t="shared" si="2"/>
        <v>498</v>
      </c>
      <c r="K14" s="13" t="s">
        <v>21</v>
      </c>
      <c r="L14" s="13" t="s">
        <v>22</v>
      </c>
      <c r="M14" s="13"/>
      <c r="N14" s="13"/>
      <c r="O14" s="21">
        <f>O12+O13</f>
        <v>3458562.6025</v>
      </c>
    </row>
    <row r="15" spans="1:17" x14ac:dyDescent="0.3">
      <c r="A15" s="9">
        <v>8</v>
      </c>
      <c r="B15" s="9"/>
      <c r="C15" s="10">
        <v>35339</v>
      </c>
      <c r="D15" s="10">
        <v>35370</v>
      </c>
      <c r="E15" s="11">
        <v>8749</v>
      </c>
      <c r="F15" s="12"/>
      <c r="G15" s="12">
        <f t="shared" si="0"/>
        <v>729</v>
      </c>
      <c r="H15" s="12">
        <f t="shared" si="4"/>
        <v>417</v>
      </c>
      <c r="I15" s="12">
        <f t="shared" si="2"/>
        <v>312</v>
      </c>
      <c r="K15" s="14" t="s">
        <v>23</v>
      </c>
      <c r="L15" s="14"/>
      <c r="M15" s="14"/>
      <c r="N15" s="14"/>
      <c r="O15" s="20">
        <f>O14*8.25%*4/12</f>
        <v>95110.471568749999</v>
      </c>
    </row>
    <row r="16" spans="1:17" x14ac:dyDescent="0.3">
      <c r="A16" s="9">
        <v>9</v>
      </c>
      <c r="B16" s="9"/>
      <c r="C16" s="10">
        <v>35370</v>
      </c>
      <c r="D16" s="10">
        <v>35400</v>
      </c>
      <c r="E16" s="11">
        <f t="shared" si="3"/>
        <v>8749</v>
      </c>
      <c r="F16" s="12"/>
      <c r="G16" s="12">
        <f t="shared" si="0"/>
        <v>729</v>
      </c>
      <c r="H16" s="12">
        <f t="shared" si="4"/>
        <v>417</v>
      </c>
      <c r="I16" s="12">
        <f t="shared" si="2"/>
        <v>312</v>
      </c>
      <c r="K16" s="13" t="s">
        <v>24</v>
      </c>
      <c r="L16" s="13" t="s">
        <v>25</v>
      </c>
      <c r="M16" s="13"/>
      <c r="N16" s="13"/>
      <c r="O16" s="21">
        <f>O14+O15</f>
        <v>3553673.0740687503</v>
      </c>
    </row>
    <row r="17" spans="1:17" x14ac:dyDescent="0.3">
      <c r="A17" s="9">
        <v>10</v>
      </c>
      <c r="B17" s="9"/>
      <c r="C17" s="10">
        <v>35400</v>
      </c>
      <c r="D17" s="10">
        <v>35431</v>
      </c>
      <c r="E17" s="11">
        <f t="shared" si="3"/>
        <v>8749</v>
      </c>
      <c r="F17" s="12"/>
      <c r="G17" s="12">
        <f t="shared" si="0"/>
        <v>729</v>
      </c>
      <c r="H17" s="12">
        <f t="shared" si="4"/>
        <v>417</v>
      </c>
      <c r="I17" s="12">
        <f t="shared" si="2"/>
        <v>312</v>
      </c>
    </row>
    <row r="18" spans="1:17" x14ac:dyDescent="0.3">
      <c r="A18" s="9">
        <v>11</v>
      </c>
      <c r="B18" s="9"/>
      <c r="C18" s="10">
        <v>35431</v>
      </c>
      <c r="D18" s="10">
        <v>35462</v>
      </c>
      <c r="E18" s="11">
        <v>9028</v>
      </c>
      <c r="F18" s="12"/>
      <c r="G18" s="12">
        <f t="shared" si="0"/>
        <v>752</v>
      </c>
      <c r="H18" s="12">
        <f t="shared" si="4"/>
        <v>417</v>
      </c>
      <c r="I18" s="12">
        <f t="shared" si="2"/>
        <v>335</v>
      </c>
      <c r="J18" s="22" t="s">
        <v>26</v>
      </c>
      <c r="K18" s="14" t="s">
        <v>27</v>
      </c>
      <c r="L18" s="14"/>
      <c r="M18" s="14"/>
      <c r="N18" s="23">
        <v>35019</v>
      </c>
    </row>
    <row r="19" spans="1:17" x14ac:dyDescent="0.3">
      <c r="A19" s="17">
        <v>12</v>
      </c>
      <c r="B19" s="17" t="s">
        <v>28</v>
      </c>
      <c r="C19" s="18">
        <v>35462</v>
      </c>
      <c r="D19" s="18">
        <v>35490</v>
      </c>
      <c r="E19" s="11">
        <f t="shared" si="3"/>
        <v>9028</v>
      </c>
      <c r="F19" s="12">
        <f>SUM(E8:E19)</f>
        <v>102616</v>
      </c>
      <c r="G19" s="12">
        <f t="shared" si="0"/>
        <v>752</v>
      </c>
      <c r="H19" s="12">
        <f t="shared" si="4"/>
        <v>417</v>
      </c>
      <c r="I19" s="12">
        <f t="shared" si="2"/>
        <v>335</v>
      </c>
      <c r="J19" s="22" t="s">
        <v>29</v>
      </c>
      <c r="K19" s="14" t="s">
        <v>30</v>
      </c>
      <c r="L19" s="14"/>
      <c r="M19" s="14"/>
      <c r="N19" s="23">
        <v>41883</v>
      </c>
    </row>
    <row r="20" spans="1:17" x14ac:dyDescent="0.3">
      <c r="A20" s="9">
        <v>1</v>
      </c>
      <c r="B20" s="9"/>
      <c r="C20" s="10">
        <v>35490</v>
      </c>
      <c r="D20" s="10">
        <v>35521</v>
      </c>
      <c r="E20" s="11">
        <f t="shared" si="3"/>
        <v>9028</v>
      </c>
      <c r="F20" s="12"/>
      <c r="G20" s="12">
        <f t="shared" si="0"/>
        <v>752</v>
      </c>
      <c r="H20" s="12">
        <f t="shared" si="4"/>
        <v>417</v>
      </c>
      <c r="I20" s="12">
        <f t="shared" si="2"/>
        <v>335</v>
      </c>
      <c r="J20" s="22"/>
      <c r="K20" s="14" t="s">
        <v>31</v>
      </c>
      <c r="L20" s="14"/>
      <c r="M20" s="14"/>
      <c r="N20" s="14">
        <f>N19-N18</f>
        <v>6864</v>
      </c>
      <c r="P20" s="24"/>
    </row>
    <row r="21" spans="1:17" x14ac:dyDescent="0.3">
      <c r="A21" s="9">
        <v>2</v>
      </c>
      <c r="B21" s="9"/>
      <c r="C21" s="10">
        <v>35521</v>
      </c>
      <c r="D21" s="10">
        <v>35551</v>
      </c>
      <c r="E21" s="11">
        <v>10436</v>
      </c>
      <c r="F21" s="12"/>
      <c r="G21" s="12">
        <f t="shared" si="0"/>
        <v>869</v>
      </c>
      <c r="H21" s="12">
        <f t="shared" si="4"/>
        <v>417</v>
      </c>
      <c r="I21" s="12">
        <f t="shared" si="2"/>
        <v>452</v>
      </c>
      <c r="J21" s="22" t="s">
        <v>32</v>
      </c>
      <c r="K21" s="14" t="s">
        <v>33</v>
      </c>
      <c r="L21" s="14"/>
      <c r="M21" s="14"/>
      <c r="N21" s="23">
        <v>43830</v>
      </c>
      <c r="O21" s="1"/>
    </row>
    <row r="22" spans="1:17" x14ac:dyDescent="0.3">
      <c r="A22" s="9">
        <v>3</v>
      </c>
      <c r="B22" s="9"/>
      <c r="C22" s="10">
        <v>35551</v>
      </c>
      <c r="D22" s="10">
        <v>35582</v>
      </c>
      <c r="E22" s="11">
        <v>9380</v>
      </c>
      <c r="F22" s="12"/>
      <c r="G22" s="12">
        <f t="shared" si="0"/>
        <v>781</v>
      </c>
      <c r="H22" s="12">
        <f t="shared" si="4"/>
        <v>417</v>
      </c>
      <c r="I22" s="12">
        <f t="shared" si="2"/>
        <v>364</v>
      </c>
      <c r="K22" s="14" t="s">
        <v>34</v>
      </c>
      <c r="L22" s="14"/>
      <c r="M22" s="14"/>
      <c r="N22" s="14">
        <f>N21-N19</f>
        <v>1947</v>
      </c>
      <c r="O22" s="1"/>
    </row>
    <row r="23" spans="1:17" x14ac:dyDescent="0.3">
      <c r="A23" s="9">
        <v>4</v>
      </c>
      <c r="B23" s="9"/>
      <c r="C23" s="10">
        <v>35582</v>
      </c>
      <c r="D23" s="10">
        <v>35612</v>
      </c>
      <c r="E23" s="11">
        <f t="shared" si="3"/>
        <v>9380</v>
      </c>
      <c r="F23" s="12"/>
      <c r="G23" s="12">
        <f t="shared" si="0"/>
        <v>781</v>
      </c>
      <c r="H23" s="12">
        <f t="shared" si="4"/>
        <v>417</v>
      </c>
      <c r="I23" s="12">
        <f t="shared" si="2"/>
        <v>364</v>
      </c>
    </row>
    <row r="24" spans="1:17" x14ac:dyDescent="0.3">
      <c r="A24" s="9">
        <v>5</v>
      </c>
      <c r="B24" s="9"/>
      <c r="C24" s="10">
        <v>35612</v>
      </c>
      <c r="D24" s="10">
        <v>35643</v>
      </c>
      <c r="E24" s="11">
        <f t="shared" si="3"/>
        <v>9380</v>
      </c>
      <c r="F24" s="12"/>
      <c r="G24" s="12">
        <f t="shared" si="0"/>
        <v>781</v>
      </c>
      <c r="H24" s="12">
        <f t="shared" si="4"/>
        <v>417</v>
      </c>
      <c r="I24" s="12">
        <f t="shared" si="2"/>
        <v>364</v>
      </c>
      <c r="K24" s="25"/>
      <c r="L24" s="14"/>
      <c r="M24" s="14"/>
      <c r="N24" s="26" t="s">
        <v>35</v>
      </c>
      <c r="O24" s="20">
        <v>6856</v>
      </c>
    </row>
    <row r="25" spans="1:17" x14ac:dyDescent="0.3">
      <c r="A25" s="9">
        <v>6</v>
      </c>
      <c r="B25" s="9"/>
      <c r="C25" s="10">
        <v>35643</v>
      </c>
      <c r="D25" s="10">
        <v>35674</v>
      </c>
      <c r="E25" s="11">
        <f t="shared" si="3"/>
        <v>9380</v>
      </c>
      <c r="F25" s="12"/>
      <c r="G25" s="12">
        <f t="shared" si="0"/>
        <v>781</v>
      </c>
      <c r="H25" s="12">
        <f t="shared" si="4"/>
        <v>417</v>
      </c>
      <c r="I25" s="12">
        <f t="shared" si="2"/>
        <v>364</v>
      </c>
      <c r="K25" s="25"/>
      <c r="L25" s="27"/>
      <c r="M25" s="14"/>
      <c r="N25" s="26" t="s">
        <v>36</v>
      </c>
      <c r="O25" s="20">
        <v>1919</v>
      </c>
      <c r="Q25" s="3">
        <f>N22-O25</f>
        <v>28</v>
      </c>
    </row>
    <row r="26" spans="1:17" x14ac:dyDescent="0.3">
      <c r="A26" s="9">
        <v>7</v>
      </c>
      <c r="B26" s="9"/>
      <c r="C26" s="10">
        <v>35674</v>
      </c>
      <c r="D26" s="10">
        <v>35704</v>
      </c>
      <c r="E26" s="11">
        <f t="shared" si="3"/>
        <v>9380</v>
      </c>
      <c r="F26" s="12"/>
      <c r="G26" s="12">
        <f t="shared" si="0"/>
        <v>781</v>
      </c>
      <c r="H26" s="12">
        <f t="shared" si="4"/>
        <v>417</v>
      </c>
      <c r="I26" s="12">
        <f t="shared" si="2"/>
        <v>364</v>
      </c>
      <c r="L26" s="28"/>
      <c r="M26" s="14"/>
      <c r="N26" s="29" t="s">
        <v>37</v>
      </c>
      <c r="O26" s="20">
        <f>365*2</f>
        <v>730</v>
      </c>
    </row>
    <row r="27" spans="1:17" x14ac:dyDescent="0.3">
      <c r="A27" s="9">
        <v>8</v>
      </c>
      <c r="B27" s="9"/>
      <c r="C27" s="10">
        <v>35704</v>
      </c>
      <c r="D27" s="10">
        <v>35735</v>
      </c>
      <c r="E27" s="11">
        <f t="shared" si="3"/>
        <v>9380</v>
      </c>
      <c r="F27" s="12"/>
      <c r="G27" s="12">
        <f t="shared" si="0"/>
        <v>781</v>
      </c>
      <c r="H27" s="12">
        <f t="shared" si="4"/>
        <v>417</v>
      </c>
      <c r="I27" s="12">
        <f t="shared" si="2"/>
        <v>364</v>
      </c>
    </row>
    <row r="28" spans="1:17" ht="28.8" x14ac:dyDescent="0.3">
      <c r="A28" s="9">
        <v>9</v>
      </c>
      <c r="B28" s="9"/>
      <c r="C28" s="10">
        <v>35735</v>
      </c>
      <c r="D28" s="10">
        <v>35765</v>
      </c>
      <c r="E28" s="11">
        <f t="shared" si="3"/>
        <v>9380</v>
      </c>
      <c r="F28" s="12"/>
      <c r="G28" s="12">
        <f t="shared" si="0"/>
        <v>781</v>
      </c>
      <c r="H28" s="12">
        <f t="shared" si="4"/>
        <v>417</v>
      </c>
      <c r="I28" s="12">
        <f t="shared" si="2"/>
        <v>364</v>
      </c>
      <c r="O28" s="30" t="s">
        <v>12</v>
      </c>
      <c r="P28" s="30" t="s">
        <v>38</v>
      </c>
      <c r="Q28" s="31" t="s">
        <v>39</v>
      </c>
    </row>
    <row r="29" spans="1:17" x14ac:dyDescent="0.3">
      <c r="A29" s="9">
        <v>10</v>
      </c>
      <c r="B29" s="9"/>
      <c r="C29" s="10">
        <v>35765</v>
      </c>
      <c r="D29" s="10">
        <v>35796</v>
      </c>
      <c r="E29" s="11">
        <v>20784</v>
      </c>
      <c r="F29" s="12"/>
      <c r="G29" s="12">
        <f t="shared" si="0"/>
        <v>1731</v>
      </c>
      <c r="H29" s="12">
        <f t="shared" si="4"/>
        <v>417</v>
      </c>
      <c r="I29" s="12">
        <f t="shared" si="2"/>
        <v>1314</v>
      </c>
      <c r="L29" s="14"/>
      <c r="M29" s="14"/>
      <c r="N29" s="26" t="s">
        <v>40</v>
      </c>
      <c r="O29" s="20">
        <f>AVERAGE(E170:E229)</f>
        <v>77503.366666666669</v>
      </c>
      <c r="P29" s="15">
        <f>O29*21/70</f>
        <v>23251.01</v>
      </c>
      <c r="Q29" s="20">
        <f>O29*(O24+O26)/(70*365)</f>
        <v>23011.371410306587</v>
      </c>
    </row>
    <row r="30" spans="1:17" x14ac:dyDescent="0.3">
      <c r="A30" s="9">
        <v>11</v>
      </c>
      <c r="B30" s="9"/>
      <c r="C30" s="10">
        <v>35796</v>
      </c>
      <c r="D30" s="10">
        <v>35827</v>
      </c>
      <c r="E30" s="11">
        <v>68767</v>
      </c>
      <c r="F30" s="12"/>
      <c r="G30" s="12">
        <f t="shared" si="0"/>
        <v>5728</v>
      </c>
      <c r="H30" s="12">
        <f t="shared" si="4"/>
        <v>417</v>
      </c>
      <c r="I30" s="12">
        <f t="shared" si="2"/>
        <v>5311</v>
      </c>
      <c r="L30" s="14"/>
      <c r="M30" s="14"/>
      <c r="N30" s="26" t="s">
        <v>41</v>
      </c>
      <c r="O30" s="20">
        <f>AVERAGE(E234:E293)</f>
        <v>142963.85</v>
      </c>
      <c r="P30" s="15">
        <f>O30*5/70</f>
        <v>10211.703571428572</v>
      </c>
      <c r="Q30" s="20">
        <f t="shared" ref="Q30" si="5">O30*(O25+O27)/(70*365)</f>
        <v>10737.676248532291</v>
      </c>
    </row>
    <row r="31" spans="1:17" x14ac:dyDescent="0.3">
      <c r="A31" s="9">
        <v>12</v>
      </c>
      <c r="B31" s="17" t="s">
        <v>42</v>
      </c>
      <c r="C31" s="10">
        <v>35827</v>
      </c>
      <c r="D31" s="10">
        <v>35855</v>
      </c>
      <c r="E31" s="11">
        <v>12402</v>
      </c>
      <c r="F31" s="12">
        <f>SUM(E20:E31)</f>
        <v>187077</v>
      </c>
      <c r="G31" s="12">
        <f t="shared" si="0"/>
        <v>1033</v>
      </c>
      <c r="H31" s="12">
        <f t="shared" si="4"/>
        <v>417</v>
      </c>
      <c r="I31" s="12">
        <f t="shared" si="2"/>
        <v>616</v>
      </c>
      <c r="O31" s="32" t="s">
        <v>17</v>
      </c>
      <c r="P31" s="33">
        <f>SUM(P29:P30)</f>
        <v>33462.713571428569</v>
      </c>
      <c r="Q31" s="21">
        <f>SUM(Q29:Q30)</f>
        <v>33749.047658838877</v>
      </c>
    </row>
    <row r="32" spans="1:17" x14ac:dyDescent="0.3">
      <c r="A32" s="9">
        <v>1</v>
      </c>
      <c r="B32" s="9"/>
      <c r="C32" s="10">
        <v>35855</v>
      </c>
      <c r="D32" s="10">
        <v>35886</v>
      </c>
      <c r="E32" s="11">
        <f t="shared" si="3"/>
        <v>12402</v>
      </c>
      <c r="F32" s="12"/>
      <c r="G32" s="12">
        <f t="shared" si="0"/>
        <v>1033</v>
      </c>
      <c r="H32" s="12">
        <f t="shared" si="4"/>
        <v>417</v>
      </c>
      <c r="I32" s="12">
        <f t="shared" si="2"/>
        <v>616</v>
      </c>
    </row>
    <row r="33" spans="1:18" x14ac:dyDescent="0.3">
      <c r="A33" s="9">
        <v>2</v>
      </c>
      <c r="B33" s="9"/>
      <c r="C33" s="10">
        <v>35886</v>
      </c>
      <c r="D33" s="10">
        <v>35916</v>
      </c>
      <c r="E33" s="11">
        <v>12731</v>
      </c>
      <c r="F33" s="12"/>
      <c r="G33" s="12">
        <f t="shared" si="0"/>
        <v>1060</v>
      </c>
      <c r="H33" s="12">
        <f t="shared" si="4"/>
        <v>417</v>
      </c>
      <c r="I33" s="12">
        <f t="shared" si="2"/>
        <v>643</v>
      </c>
      <c r="L33" s="34" t="s">
        <v>43</v>
      </c>
    </row>
    <row r="34" spans="1:18" ht="28.8" x14ac:dyDescent="0.3">
      <c r="A34" s="9">
        <v>3</v>
      </c>
      <c r="B34" s="9"/>
      <c r="C34" s="10">
        <v>35916</v>
      </c>
      <c r="D34" s="10">
        <v>35947</v>
      </c>
      <c r="E34" s="11">
        <v>13718</v>
      </c>
      <c r="F34" s="12"/>
      <c r="G34" s="12">
        <f t="shared" si="0"/>
        <v>1143</v>
      </c>
      <c r="H34" s="12">
        <f t="shared" si="4"/>
        <v>417</v>
      </c>
      <c r="I34" s="12">
        <f t="shared" si="2"/>
        <v>726</v>
      </c>
      <c r="P34" s="30" t="s">
        <v>38</v>
      </c>
      <c r="Q34" s="31" t="s">
        <v>39</v>
      </c>
    </row>
    <row r="35" spans="1:18" x14ac:dyDescent="0.3">
      <c r="A35" s="9">
        <v>4</v>
      </c>
      <c r="B35" s="9"/>
      <c r="C35" s="10">
        <v>35947</v>
      </c>
      <c r="D35" s="10">
        <v>35977</v>
      </c>
      <c r="E35" s="11">
        <v>12731</v>
      </c>
      <c r="F35" s="12"/>
      <c r="G35" s="12">
        <f t="shared" si="0"/>
        <v>1060</v>
      </c>
      <c r="H35" s="12">
        <f t="shared" si="4"/>
        <v>417</v>
      </c>
      <c r="I35" s="12">
        <f t="shared" si="2"/>
        <v>643</v>
      </c>
      <c r="L35" s="27"/>
      <c r="M35" s="27"/>
      <c r="N35" s="35" t="s">
        <v>44</v>
      </c>
      <c r="O35" s="20">
        <v>103820</v>
      </c>
      <c r="P35" s="15">
        <f>O35*21/70</f>
        <v>31146</v>
      </c>
      <c r="Q35" s="20">
        <f>O35*(O24+O26)/(70*365)</f>
        <v>30824.990998043053</v>
      </c>
    </row>
    <row r="36" spans="1:18" x14ac:dyDescent="0.3">
      <c r="A36" s="9">
        <v>5</v>
      </c>
      <c r="B36" s="9"/>
      <c r="C36" s="10">
        <v>35977</v>
      </c>
      <c r="D36" s="10">
        <v>36008</v>
      </c>
      <c r="E36" s="11">
        <f t="shared" si="3"/>
        <v>12731</v>
      </c>
      <c r="F36" s="12"/>
      <c r="G36" s="12">
        <f t="shared" si="0"/>
        <v>1060</v>
      </c>
      <c r="H36" s="12">
        <f t="shared" si="4"/>
        <v>417</v>
      </c>
      <c r="I36" s="12">
        <f t="shared" si="2"/>
        <v>643</v>
      </c>
      <c r="L36" s="25"/>
      <c r="M36" s="36"/>
      <c r="N36" s="37" t="s">
        <v>41</v>
      </c>
      <c r="O36" s="38">
        <f>O30</f>
        <v>142963.85</v>
      </c>
      <c r="P36" s="15">
        <f>O36*5/70</f>
        <v>10211.703571428572</v>
      </c>
      <c r="Q36" s="20">
        <f>O30*O25/(70*365)</f>
        <v>10737.676248532291</v>
      </c>
    </row>
    <row r="37" spans="1:18" x14ac:dyDescent="0.3">
      <c r="A37" s="9">
        <v>6</v>
      </c>
      <c r="B37" s="9"/>
      <c r="C37" s="10">
        <v>36008</v>
      </c>
      <c r="D37" s="10">
        <v>36039</v>
      </c>
      <c r="E37" s="11">
        <f t="shared" si="3"/>
        <v>12731</v>
      </c>
      <c r="F37" s="12"/>
      <c r="G37" s="12">
        <f t="shared" si="0"/>
        <v>1060</v>
      </c>
      <c r="H37" s="12">
        <f t="shared" si="4"/>
        <v>417</v>
      </c>
      <c r="I37" s="12">
        <f t="shared" si="2"/>
        <v>643</v>
      </c>
      <c r="O37" s="32" t="s">
        <v>17</v>
      </c>
      <c r="P37" s="33">
        <f>SUM(P35:P36)</f>
        <v>41357.703571428574</v>
      </c>
      <c r="Q37" s="21">
        <f>SUM(Q35:Q36)</f>
        <v>41562.667246575344</v>
      </c>
    </row>
    <row r="38" spans="1:18" x14ac:dyDescent="0.3">
      <c r="A38" s="9">
        <v>7</v>
      </c>
      <c r="B38" s="9"/>
      <c r="C38" s="10">
        <v>36039</v>
      </c>
      <c r="D38" s="10">
        <v>36069</v>
      </c>
      <c r="E38" s="11">
        <v>13390</v>
      </c>
      <c r="F38" s="12"/>
      <c r="G38" s="12">
        <f t="shared" si="0"/>
        <v>1115</v>
      </c>
      <c r="H38" s="12">
        <f t="shared" si="4"/>
        <v>417</v>
      </c>
      <c r="I38" s="12">
        <f t="shared" si="2"/>
        <v>698</v>
      </c>
    </row>
    <row r="39" spans="1:18" x14ac:dyDescent="0.3">
      <c r="A39" s="9">
        <v>8</v>
      </c>
      <c r="B39" s="9"/>
      <c r="C39" s="10">
        <v>36069</v>
      </c>
      <c r="D39" s="10">
        <v>36100</v>
      </c>
      <c r="E39" s="11">
        <v>14708</v>
      </c>
      <c r="F39" s="12"/>
      <c r="G39" s="12">
        <f t="shared" si="0"/>
        <v>1225</v>
      </c>
      <c r="H39" s="12">
        <f t="shared" si="4"/>
        <v>417</v>
      </c>
      <c r="I39" s="12">
        <f t="shared" si="2"/>
        <v>808</v>
      </c>
      <c r="L39" s="25"/>
      <c r="M39" s="36"/>
      <c r="N39" s="36"/>
      <c r="O39" s="39"/>
      <c r="P39" s="37" t="s">
        <v>45</v>
      </c>
      <c r="Q39" s="40">
        <f>'[1]Summary (8.33%)'!F33-SUM('[1]Summary (8.33%)'!F30:F31)</f>
        <v>2607310</v>
      </c>
    </row>
    <row r="40" spans="1:18" x14ac:dyDescent="0.3">
      <c r="A40" s="9">
        <v>9</v>
      </c>
      <c r="B40" s="9"/>
      <c r="C40" s="10">
        <v>36100</v>
      </c>
      <c r="D40" s="10">
        <v>36130</v>
      </c>
      <c r="E40" s="11">
        <v>13390</v>
      </c>
      <c r="F40" s="12"/>
      <c r="G40" s="12">
        <f t="shared" si="0"/>
        <v>1115</v>
      </c>
      <c r="H40" s="12">
        <f t="shared" si="4"/>
        <v>417</v>
      </c>
      <c r="I40" s="12">
        <f t="shared" si="2"/>
        <v>698</v>
      </c>
      <c r="L40" s="25"/>
      <c r="M40" s="36"/>
      <c r="N40" s="36"/>
      <c r="O40" s="39"/>
      <c r="P40" s="37" t="s">
        <v>46</v>
      </c>
      <c r="Q40" s="41">
        <f>'[1]Summary (1.16%__Mem)'!F33-SUM('[1]Summary (1.16%__Mem)'!F29:F31)</f>
        <v>115703</v>
      </c>
    </row>
    <row r="41" spans="1:18" x14ac:dyDescent="0.3">
      <c r="A41" s="9">
        <v>10</v>
      </c>
      <c r="B41" s="9"/>
      <c r="C41" s="10">
        <v>36130</v>
      </c>
      <c r="D41" s="10">
        <v>36161</v>
      </c>
      <c r="E41" s="11">
        <f t="shared" si="3"/>
        <v>13390</v>
      </c>
      <c r="F41" s="12"/>
      <c r="G41" s="12">
        <f t="shared" si="0"/>
        <v>1115</v>
      </c>
      <c r="H41" s="12">
        <f t="shared" si="4"/>
        <v>417</v>
      </c>
      <c r="I41" s="12">
        <f t="shared" si="2"/>
        <v>698</v>
      </c>
      <c r="L41" s="25"/>
      <c r="M41" s="36"/>
      <c r="N41" s="36"/>
      <c r="O41" s="42"/>
      <c r="P41" s="37" t="s">
        <v>47</v>
      </c>
      <c r="Q41" s="43">
        <f>Q39+Q40</f>
        <v>2723013</v>
      </c>
    </row>
    <row r="42" spans="1:18" x14ac:dyDescent="0.3">
      <c r="A42" s="9">
        <v>11</v>
      </c>
      <c r="B42" s="9"/>
      <c r="C42" s="10">
        <v>36161</v>
      </c>
      <c r="D42" s="10">
        <v>36192</v>
      </c>
      <c r="E42" s="11">
        <v>13786</v>
      </c>
      <c r="F42" s="12"/>
      <c r="G42" s="12">
        <f t="shared" si="0"/>
        <v>1148</v>
      </c>
      <c r="H42" s="12">
        <f t="shared" si="4"/>
        <v>417</v>
      </c>
      <c r="I42" s="12">
        <f t="shared" si="2"/>
        <v>731</v>
      </c>
      <c r="L42" s="25"/>
      <c r="M42" s="36"/>
      <c r="N42" s="36"/>
      <c r="O42" s="42"/>
      <c r="P42" s="44" t="s">
        <v>48</v>
      </c>
      <c r="Q42" s="20">
        <f>ROUND(Q37-3617,0)</f>
        <v>37946</v>
      </c>
    </row>
    <row r="43" spans="1:18" x14ac:dyDescent="0.3">
      <c r="A43" s="9">
        <v>12</v>
      </c>
      <c r="B43" s="17" t="s">
        <v>49</v>
      </c>
      <c r="C43" s="10">
        <v>36192</v>
      </c>
      <c r="D43" s="10">
        <v>36220</v>
      </c>
      <c r="E43" s="11">
        <f t="shared" si="3"/>
        <v>13786</v>
      </c>
      <c r="F43" s="12">
        <f>SUM(E32:E43)</f>
        <v>159494</v>
      </c>
      <c r="G43" s="12">
        <f t="shared" si="0"/>
        <v>1148</v>
      </c>
      <c r="H43" s="12">
        <f t="shared" si="4"/>
        <v>417</v>
      </c>
      <c r="I43" s="12">
        <f t="shared" si="2"/>
        <v>731</v>
      </c>
      <c r="L43" s="25"/>
      <c r="M43" s="36"/>
      <c r="N43" s="36"/>
      <c r="O43" s="42"/>
      <c r="P43" s="37" t="s">
        <v>50</v>
      </c>
      <c r="Q43" s="20">
        <f>Q37*57</f>
        <v>2369072.0330547947</v>
      </c>
    </row>
    <row r="44" spans="1:18" x14ac:dyDescent="0.3">
      <c r="A44" s="9">
        <v>1</v>
      </c>
      <c r="B44" s="9"/>
      <c r="C44" s="10">
        <v>36220</v>
      </c>
      <c r="D44" s="10">
        <v>36251</v>
      </c>
      <c r="E44" s="11">
        <f t="shared" si="3"/>
        <v>13786</v>
      </c>
      <c r="F44" s="12"/>
      <c r="G44" s="12">
        <f t="shared" si="0"/>
        <v>1148</v>
      </c>
      <c r="H44" s="12">
        <f t="shared" si="4"/>
        <v>417</v>
      </c>
      <c r="I44" s="12">
        <f t="shared" si="2"/>
        <v>731</v>
      </c>
      <c r="L44" s="25"/>
      <c r="M44" s="36"/>
      <c r="N44" s="36"/>
      <c r="O44" s="42"/>
      <c r="P44" s="37" t="s">
        <v>51</v>
      </c>
      <c r="Q44" s="20">
        <f>3617*57</f>
        <v>206169</v>
      </c>
    </row>
    <row r="45" spans="1:18" x14ac:dyDescent="0.3">
      <c r="A45" s="9">
        <v>2</v>
      </c>
      <c r="B45" s="9"/>
      <c r="C45" s="10">
        <v>36251</v>
      </c>
      <c r="D45" s="10">
        <v>36281</v>
      </c>
      <c r="E45" s="11">
        <v>14916</v>
      </c>
      <c r="F45" s="12"/>
      <c r="G45" s="12">
        <f t="shared" si="0"/>
        <v>1243</v>
      </c>
      <c r="H45" s="12">
        <f t="shared" si="4"/>
        <v>417</v>
      </c>
      <c r="I45" s="12">
        <f t="shared" si="2"/>
        <v>826</v>
      </c>
      <c r="L45" s="25"/>
      <c r="M45" s="36"/>
      <c r="N45" s="36"/>
      <c r="O45" s="42"/>
      <c r="P45" s="37" t="s">
        <v>52</v>
      </c>
      <c r="Q45" s="38">
        <f>Q43-Q44</f>
        <v>2162903.0330547947</v>
      </c>
      <c r="R45" s="24"/>
    </row>
    <row r="46" spans="1:18" x14ac:dyDescent="0.3">
      <c r="A46" s="9">
        <v>3</v>
      </c>
      <c r="B46" s="9"/>
      <c r="C46" s="10">
        <v>36281</v>
      </c>
      <c r="D46" s="10">
        <v>36312</v>
      </c>
      <c r="E46" s="11">
        <f t="shared" si="3"/>
        <v>14916</v>
      </c>
      <c r="F46" s="12"/>
      <c r="G46" s="12">
        <f t="shared" si="0"/>
        <v>1243</v>
      </c>
      <c r="H46" s="12">
        <f t="shared" si="4"/>
        <v>417</v>
      </c>
      <c r="I46" s="12">
        <f t="shared" si="2"/>
        <v>826</v>
      </c>
    </row>
    <row r="47" spans="1:18" x14ac:dyDescent="0.3">
      <c r="A47" s="9">
        <v>4</v>
      </c>
      <c r="B47" s="9"/>
      <c r="C47" s="10">
        <v>36312</v>
      </c>
      <c r="D47" s="10">
        <v>36342</v>
      </c>
      <c r="E47" s="11">
        <v>18306</v>
      </c>
      <c r="F47" s="12"/>
      <c r="G47" s="12">
        <f t="shared" si="0"/>
        <v>1525</v>
      </c>
      <c r="H47" s="12">
        <f t="shared" si="4"/>
        <v>417</v>
      </c>
      <c r="I47" s="12">
        <f t="shared" si="2"/>
        <v>1108</v>
      </c>
      <c r="L47" s="34" t="s">
        <v>53</v>
      </c>
    </row>
    <row r="48" spans="1:18" x14ac:dyDescent="0.3">
      <c r="A48" s="9">
        <v>5</v>
      </c>
      <c r="B48" s="9"/>
      <c r="C48" s="10">
        <v>36342</v>
      </c>
      <c r="D48" s="10">
        <v>36373</v>
      </c>
      <c r="E48" s="11">
        <v>14916</v>
      </c>
      <c r="F48" s="12"/>
      <c r="G48" s="12">
        <f t="shared" si="0"/>
        <v>1243</v>
      </c>
      <c r="H48" s="12">
        <f t="shared" si="4"/>
        <v>417</v>
      </c>
      <c r="I48" s="12">
        <f t="shared" si="2"/>
        <v>826</v>
      </c>
    </row>
    <row r="49" spans="1:17" x14ac:dyDescent="0.3">
      <c r="A49" s="9">
        <v>6</v>
      </c>
      <c r="B49" s="9"/>
      <c r="C49" s="10">
        <v>36373</v>
      </c>
      <c r="D49" s="10">
        <v>36404</v>
      </c>
      <c r="E49" s="11">
        <f t="shared" si="3"/>
        <v>14916</v>
      </c>
      <c r="F49" s="12"/>
      <c r="G49" s="12">
        <f t="shared" si="0"/>
        <v>1243</v>
      </c>
      <c r="H49" s="12">
        <f t="shared" si="4"/>
        <v>417</v>
      </c>
      <c r="I49" s="12">
        <f t="shared" si="2"/>
        <v>826</v>
      </c>
      <c r="N49" s="14"/>
      <c r="O49" s="20"/>
      <c r="P49" s="45" t="s">
        <v>54</v>
      </c>
      <c r="Q49" s="20">
        <f>400000*5%</f>
        <v>20000</v>
      </c>
    </row>
    <row r="50" spans="1:17" x14ac:dyDescent="0.3">
      <c r="A50" s="9">
        <v>7</v>
      </c>
      <c r="B50" s="9"/>
      <c r="C50" s="10">
        <v>36404</v>
      </c>
      <c r="D50" s="10">
        <v>36434</v>
      </c>
      <c r="E50" s="11">
        <v>15481</v>
      </c>
      <c r="F50" s="12"/>
      <c r="G50" s="12">
        <f t="shared" si="0"/>
        <v>1290</v>
      </c>
      <c r="H50" s="12">
        <f t="shared" si="4"/>
        <v>417</v>
      </c>
      <c r="I50" s="12">
        <f t="shared" si="2"/>
        <v>873</v>
      </c>
      <c r="N50" s="14"/>
      <c r="O50" s="20"/>
      <c r="P50" s="45" t="s">
        <v>55</v>
      </c>
      <c r="Q50" s="20">
        <f>300000*10%</f>
        <v>30000</v>
      </c>
    </row>
    <row r="51" spans="1:17" x14ac:dyDescent="0.3">
      <c r="A51" s="9">
        <v>8</v>
      </c>
      <c r="B51" s="9"/>
      <c r="C51" s="10">
        <v>36434</v>
      </c>
      <c r="D51" s="10">
        <v>36465</v>
      </c>
      <c r="E51" s="11">
        <v>16611</v>
      </c>
      <c r="F51" s="12"/>
      <c r="G51" s="12">
        <f t="shared" si="0"/>
        <v>1384</v>
      </c>
      <c r="H51" s="12">
        <f t="shared" si="4"/>
        <v>417</v>
      </c>
      <c r="I51" s="12">
        <f t="shared" si="2"/>
        <v>967</v>
      </c>
      <c r="N51" s="14"/>
      <c r="O51" s="20"/>
      <c r="P51" s="45" t="s">
        <v>56</v>
      </c>
      <c r="Q51" s="20">
        <f>200000*15%</f>
        <v>30000</v>
      </c>
    </row>
    <row r="52" spans="1:17" x14ac:dyDescent="0.3">
      <c r="A52" s="9">
        <v>9</v>
      </c>
      <c r="B52" s="9"/>
      <c r="C52" s="10">
        <v>36465</v>
      </c>
      <c r="D52" s="10">
        <v>36495</v>
      </c>
      <c r="E52" s="11">
        <v>15481</v>
      </c>
      <c r="F52" s="12"/>
      <c r="G52" s="12">
        <f t="shared" si="0"/>
        <v>1290</v>
      </c>
      <c r="H52" s="12">
        <f t="shared" si="4"/>
        <v>417</v>
      </c>
      <c r="I52" s="12">
        <f t="shared" si="2"/>
        <v>873</v>
      </c>
      <c r="N52" s="14"/>
      <c r="O52" s="20"/>
      <c r="P52" s="45" t="s">
        <v>57</v>
      </c>
      <c r="Q52" s="20">
        <f>300000*20%</f>
        <v>60000</v>
      </c>
    </row>
    <row r="53" spans="1:17" x14ac:dyDescent="0.3">
      <c r="A53" s="9">
        <v>10</v>
      </c>
      <c r="B53" s="9"/>
      <c r="C53" s="10">
        <v>36495</v>
      </c>
      <c r="D53" s="10">
        <v>36526</v>
      </c>
      <c r="E53" s="11">
        <f t="shared" si="3"/>
        <v>15481</v>
      </c>
      <c r="F53" s="12"/>
      <c r="G53" s="12">
        <f t="shared" si="0"/>
        <v>1290</v>
      </c>
      <c r="H53" s="12">
        <f t="shared" si="4"/>
        <v>417</v>
      </c>
      <c r="I53" s="12">
        <f t="shared" si="2"/>
        <v>873</v>
      </c>
      <c r="N53" s="14"/>
      <c r="O53" s="20"/>
      <c r="P53" s="45" t="s">
        <v>58</v>
      </c>
      <c r="Q53" s="20">
        <f>(Q45-1500000)*30%</f>
        <v>198870.9099164384</v>
      </c>
    </row>
    <row r="54" spans="1:17" x14ac:dyDescent="0.3">
      <c r="A54" s="9">
        <v>11</v>
      </c>
      <c r="B54" s="9"/>
      <c r="C54" s="10">
        <v>36526</v>
      </c>
      <c r="D54" s="10">
        <v>36557</v>
      </c>
      <c r="E54" s="11">
        <v>16440</v>
      </c>
      <c r="F54" s="12"/>
      <c r="G54" s="12">
        <f t="shared" si="0"/>
        <v>1369</v>
      </c>
      <c r="H54" s="12">
        <f t="shared" si="4"/>
        <v>417</v>
      </c>
      <c r="I54" s="12">
        <f t="shared" si="2"/>
        <v>952</v>
      </c>
      <c r="P54" s="14" t="s">
        <v>59</v>
      </c>
      <c r="Q54" s="20">
        <f>SUM(Q49:Q53)</f>
        <v>338870.9099164384</v>
      </c>
    </row>
    <row r="55" spans="1:17" x14ac:dyDescent="0.3">
      <c r="A55" s="9">
        <v>12</v>
      </c>
      <c r="B55" s="17" t="s">
        <v>60</v>
      </c>
      <c r="C55" s="10">
        <v>36557</v>
      </c>
      <c r="D55" s="10">
        <v>36586</v>
      </c>
      <c r="E55" s="11">
        <f t="shared" si="3"/>
        <v>16440</v>
      </c>
      <c r="F55" s="12">
        <f>SUM(E44:E55)</f>
        <v>187690</v>
      </c>
      <c r="G55" s="12">
        <f t="shared" si="0"/>
        <v>1369</v>
      </c>
      <c r="H55" s="12">
        <f t="shared" si="4"/>
        <v>417</v>
      </c>
      <c r="I55" s="12">
        <f t="shared" si="2"/>
        <v>952</v>
      </c>
      <c r="P55" s="27" t="s">
        <v>61</v>
      </c>
      <c r="Q55" s="20">
        <f>Q54*4%</f>
        <v>13554.836396657536</v>
      </c>
    </row>
    <row r="56" spans="1:17" x14ac:dyDescent="0.3">
      <c r="A56" s="9">
        <v>1</v>
      </c>
      <c r="B56" s="9"/>
      <c r="C56" s="10">
        <v>36586</v>
      </c>
      <c r="D56" s="10">
        <v>36617</v>
      </c>
      <c r="E56" s="11">
        <f t="shared" si="3"/>
        <v>16440</v>
      </c>
      <c r="F56" s="12"/>
      <c r="G56" s="12">
        <f t="shared" si="0"/>
        <v>1369</v>
      </c>
      <c r="H56" s="12">
        <f t="shared" si="4"/>
        <v>417</v>
      </c>
      <c r="I56" s="12">
        <f t="shared" si="2"/>
        <v>952</v>
      </c>
      <c r="N56" s="14"/>
      <c r="O56" s="20"/>
      <c r="P56" s="26" t="s">
        <v>62</v>
      </c>
      <c r="Q56" s="20">
        <f>Q54+Q55</f>
        <v>352425.74631309591</v>
      </c>
    </row>
    <row r="57" spans="1:17" x14ac:dyDescent="0.3">
      <c r="A57" s="9">
        <v>2</v>
      </c>
      <c r="B57" s="9"/>
      <c r="C57" s="10">
        <v>36617</v>
      </c>
      <c r="D57" s="10">
        <v>36647</v>
      </c>
      <c r="E57" s="11">
        <v>16560</v>
      </c>
      <c r="F57" s="12"/>
      <c r="G57" s="12">
        <f t="shared" si="0"/>
        <v>1379</v>
      </c>
      <c r="H57" s="12">
        <f t="shared" si="4"/>
        <v>417</v>
      </c>
      <c r="I57" s="12">
        <f t="shared" si="2"/>
        <v>962</v>
      </c>
    </row>
    <row r="58" spans="1:17" x14ac:dyDescent="0.3">
      <c r="A58" s="9">
        <v>3</v>
      </c>
      <c r="B58" s="9"/>
      <c r="C58" s="10">
        <v>36647</v>
      </c>
      <c r="D58" s="10">
        <v>36678</v>
      </c>
      <c r="E58" s="11">
        <v>16920</v>
      </c>
      <c r="F58" s="12"/>
      <c r="G58" s="12">
        <f t="shared" si="0"/>
        <v>1409</v>
      </c>
      <c r="H58" s="12">
        <f t="shared" si="4"/>
        <v>417</v>
      </c>
      <c r="I58" s="12">
        <f t="shared" si="2"/>
        <v>992</v>
      </c>
      <c r="L58" s="25"/>
      <c r="M58" s="36"/>
      <c r="N58" s="14"/>
      <c r="O58" s="20"/>
      <c r="P58" s="26" t="s">
        <v>63</v>
      </c>
      <c r="Q58" s="20">
        <f>Q45-Q56</f>
        <v>1810477.2867416986</v>
      </c>
    </row>
    <row r="59" spans="1:17" x14ac:dyDescent="0.3">
      <c r="A59" s="9">
        <v>4</v>
      </c>
      <c r="B59" s="9"/>
      <c r="C59" s="10">
        <v>36678</v>
      </c>
      <c r="D59" s="10">
        <v>36708</v>
      </c>
      <c r="E59" s="11">
        <v>16560</v>
      </c>
      <c r="F59" s="12"/>
      <c r="G59" s="12">
        <f t="shared" si="0"/>
        <v>1379</v>
      </c>
      <c r="H59" s="12">
        <f t="shared" si="4"/>
        <v>417</v>
      </c>
      <c r="I59" s="12">
        <f t="shared" si="2"/>
        <v>962</v>
      </c>
    </row>
    <row r="60" spans="1:17" x14ac:dyDescent="0.3">
      <c r="A60" s="9">
        <v>5</v>
      </c>
      <c r="B60" s="9"/>
      <c r="C60" s="10">
        <v>36708</v>
      </c>
      <c r="D60" s="10">
        <v>36739</v>
      </c>
      <c r="E60" s="11">
        <f t="shared" si="3"/>
        <v>16560</v>
      </c>
      <c r="F60" s="12"/>
      <c r="G60" s="12">
        <f t="shared" si="0"/>
        <v>1379</v>
      </c>
      <c r="H60" s="12">
        <f t="shared" si="4"/>
        <v>417</v>
      </c>
      <c r="I60" s="12">
        <f t="shared" si="2"/>
        <v>962</v>
      </c>
      <c r="L60" s="14"/>
      <c r="M60" s="27"/>
      <c r="N60" s="27"/>
      <c r="O60" s="46"/>
      <c r="P60" s="35" t="s">
        <v>64</v>
      </c>
      <c r="Q60" s="20">
        <f>3550000-Q58</f>
        <v>1739522.7132583014</v>
      </c>
    </row>
    <row r="61" spans="1:17" x14ac:dyDescent="0.3">
      <c r="A61" s="9">
        <v>6</v>
      </c>
      <c r="B61" s="9"/>
      <c r="C61" s="10">
        <v>36739</v>
      </c>
      <c r="D61" s="10">
        <v>36770</v>
      </c>
      <c r="E61" s="11">
        <f t="shared" si="3"/>
        <v>16560</v>
      </c>
      <c r="F61" s="12"/>
      <c r="G61" s="12">
        <f t="shared" si="0"/>
        <v>1379</v>
      </c>
      <c r="H61" s="12">
        <f t="shared" si="4"/>
        <v>417</v>
      </c>
      <c r="I61" s="12">
        <f t="shared" si="2"/>
        <v>962</v>
      </c>
      <c r="L61" s="25"/>
      <c r="M61" s="36"/>
      <c r="N61" s="36"/>
      <c r="O61" s="42"/>
      <c r="P61" s="37" t="s">
        <v>65</v>
      </c>
      <c r="Q61" s="20">
        <f>(Q60*POWER((1+8/400),4)-Q60)/12</f>
        <v>11949.384551911868</v>
      </c>
    </row>
    <row r="62" spans="1:17" x14ac:dyDescent="0.3">
      <c r="A62" s="9">
        <v>7</v>
      </c>
      <c r="B62" s="9"/>
      <c r="C62" s="10">
        <v>36770</v>
      </c>
      <c r="D62" s="10">
        <v>36800</v>
      </c>
      <c r="E62" s="11">
        <f t="shared" si="3"/>
        <v>16560</v>
      </c>
      <c r="F62" s="12"/>
      <c r="G62" s="12">
        <f t="shared" si="0"/>
        <v>1379</v>
      </c>
      <c r="H62" s="12">
        <f t="shared" si="4"/>
        <v>417</v>
      </c>
      <c r="I62" s="12">
        <f t="shared" si="2"/>
        <v>962</v>
      </c>
      <c r="N62" s="27"/>
      <c r="O62" s="46"/>
      <c r="P62" s="47" t="s">
        <v>66</v>
      </c>
      <c r="Q62" s="20">
        <f>Q37-Q61</f>
        <v>29613.282694663474</v>
      </c>
    </row>
    <row r="63" spans="1:17" x14ac:dyDescent="0.3">
      <c r="A63" s="9">
        <v>8</v>
      </c>
      <c r="B63" s="9"/>
      <c r="C63" s="10">
        <v>36800</v>
      </c>
      <c r="D63" s="10">
        <v>36831</v>
      </c>
      <c r="E63" s="11">
        <v>18000</v>
      </c>
      <c r="F63" s="12"/>
      <c r="G63" s="12">
        <f t="shared" si="0"/>
        <v>1499</v>
      </c>
      <c r="H63" s="12">
        <f t="shared" si="4"/>
        <v>417</v>
      </c>
      <c r="I63" s="12">
        <f t="shared" si="2"/>
        <v>1082</v>
      </c>
      <c r="L63" s="14"/>
      <c r="M63" s="25"/>
      <c r="N63" s="36"/>
      <c r="O63" s="42"/>
      <c r="P63" s="37" t="s">
        <v>67</v>
      </c>
      <c r="Q63" s="48">
        <f>Q60/Q62</f>
        <v>58.7412996794096</v>
      </c>
    </row>
    <row r="64" spans="1:17" x14ac:dyDescent="0.3">
      <c r="A64" s="9">
        <v>9</v>
      </c>
      <c r="B64" s="9"/>
      <c r="C64" s="10">
        <v>36831</v>
      </c>
      <c r="D64" s="10">
        <v>36861</v>
      </c>
      <c r="E64" s="11">
        <v>16920</v>
      </c>
      <c r="F64" s="12"/>
      <c r="G64" s="12">
        <f t="shared" si="0"/>
        <v>1409</v>
      </c>
      <c r="H64" s="12">
        <f t="shared" si="4"/>
        <v>417</v>
      </c>
      <c r="I64" s="12">
        <f t="shared" si="2"/>
        <v>992</v>
      </c>
      <c r="P64" s="26" t="s">
        <v>68</v>
      </c>
      <c r="Q64" s="48">
        <f>Q63/12</f>
        <v>4.895108306617467</v>
      </c>
    </row>
    <row r="65" spans="1:16" x14ac:dyDescent="0.3">
      <c r="A65" s="9">
        <v>10</v>
      </c>
      <c r="B65" s="9"/>
      <c r="C65" s="10">
        <v>36861</v>
      </c>
      <c r="D65" s="10">
        <v>36892</v>
      </c>
      <c r="E65" s="11">
        <f t="shared" si="3"/>
        <v>16920</v>
      </c>
      <c r="F65" s="12"/>
      <c r="G65" s="12">
        <f t="shared" si="0"/>
        <v>1409</v>
      </c>
      <c r="H65" s="12">
        <f t="shared" si="4"/>
        <v>417</v>
      </c>
      <c r="I65" s="12">
        <f t="shared" si="2"/>
        <v>992</v>
      </c>
    </row>
    <row r="66" spans="1:16" x14ac:dyDescent="0.3">
      <c r="A66" s="9">
        <v>11</v>
      </c>
      <c r="B66" s="9"/>
      <c r="C66" s="10">
        <v>36892</v>
      </c>
      <c r="D66" s="10">
        <v>36923</v>
      </c>
      <c r="E66" s="11">
        <v>17449</v>
      </c>
      <c r="F66" s="12"/>
      <c r="G66" s="12">
        <f t="shared" si="0"/>
        <v>1454</v>
      </c>
      <c r="H66" s="12">
        <f t="shared" si="4"/>
        <v>417</v>
      </c>
      <c r="I66" s="12">
        <f t="shared" si="2"/>
        <v>1037</v>
      </c>
    </row>
    <row r="67" spans="1:16" x14ac:dyDescent="0.3">
      <c r="A67" s="9">
        <v>12</v>
      </c>
      <c r="B67" s="17" t="s">
        <v>69</v>
      </c>
      <c r="C67" s="10">
        <v>36923</v>
      </c>
      <c r="D67" s="10">
        <v>36951</v>
      </c>
      <c r="E67" s="11">
        <v>17449</v>
      </c>
      <c r="F67" s="12">
        <f>SUM(E56:E67)</f>
        <v>202898</v>
      </c>
      <c r="G67" s="12">
        <f t="shared" si="0"/>
        <v>1454</v>
      </c>
      <c r="H67" s="12">
        <f t="shared" si="4"/>
        <v>417</v>
      </c>
      <c r="I67" s="12">
        <f t="shared" si="2"/>
        <v>1037</v>
      </c>
    </row>
    <row r="68" spans="1:16" x14ac:dyDescent="0.3">
      <c r="A68" s="9">
        <v>1</v>
      </c>
      <c r="B68" s="9"/>
      <c r="C68" s="10">
        <v>36951</v>
      </c>
      <c r="D68" s="10">
        <v>36982</v>
      </c>
      <c r="E68" s="11">
        <f t="shared" si="3"/>
        <v>17449</v>
      </c>
      <c r="F68" s="12"/>
      <c r="G68" s="12">
        <f t="shared" ref="G68:G131" si="6">ROUND(E68*8.33%,0)</f>
        <v>1454</v>
      </c>
      <c r="H68" s="12">
        <f t="shared" si="4"/>
        <v>417</v>
      </c>
      <c r="I68" s="12">
        <f t="shared" si="2"/>
        <v>1037</v>
      </c>
    </row>
    <row r="69" spans="1:16" x14ac:dyDescent="0.3">
      <c r="A69" s="9">
        <v>2</v>
      </c>
      <c r="B69" s="9"/>
      <c r="C69" s="10">
        <v>36982</v>
      </c>
      <c r="D69" s="10">
        <v>37012</v>
      </c>
      <c r="E69" s="11">
        <v>17696</v>
      </c>
      <c r="F69" s="12"/>
      <c r="G69" s="12">
        <f t="shared" si="6"/>
        <v>1474</v>
      </c>
      <c r="H69" s="12">
        <f t="shared" si="4"/>
        <v>417</v>
      </c>
      <c r="I69" s="12">
        <f t="shared" ref="I69:I132" si="7">MAX(G69-H69,0)</f>
        <v>1057</v>
      </c>
    </row>
    <row r="70" spans="1:16" x14ac:dyDescent="0.3">
      <c r="A70" s="9">
        <v>3</v>
      </c>
      <c r="B70" s="9"/>
      <c r="C70" s="10">
        <v>37012</v>
      </c>
      <c r="D70" s="10">
        <v>37043</v>
      </c>
      <c r="E70" s="11">
        <v>18437</v>
      </c>
      <c r="F70" s="12"/>
      <c r="G70" s="12">
        <f t="shared" si="6"/>
        <v>1536</v>
      </c>
      <c r="H70" s="12">
        <f t="shared" si="4"/>
        <v>417</v>
      </c>
      <c r="I70" s="12">
        <f t="shared" si="7"/>
        <v>1119</v>
      </c>
    </row>
    <row r="71" spans="1:16" x14ac:dyDescent="0.3">
      <c r="A71" s="9">
        <v>4</v>
      </c>
      <c r="B71" s="9"/>
      <c r="C71" s="10">
        <v>37043</v>
      </c>
      <c r="D71" s="10">
        <v>37073</v>
      </c>
      <c r="E71" s="11">
        <v>17696</v>
      </c>
      <c r="F71" s="12"/>
      <c r="G71" s="12">
        <f t="shared" si="6"/>
        <v>1474</v>
      </c>
      <c r="H71" s="12">
        <f t="shared" ref="H71:H134" si="8">IF(E71=0,0,541)</f>
        <v>541</v>
      </c>
      <c r="I71" s="12">
        <f t="shared" si="7"/>
        <v>933</v>
      </c>
    </row>
    <row r="72" spans="1:16" x14ac:dyDescent="0.3">
      <c r="A72" s="9">
        <v>5</v>
      </c>
      <c r="B72" s="9"/>
      <c r="C72" s="10">
        <v>37073</v>
      </c>
      <c r="D72" s="10">
        <v>37104</v>
      </c>
      <c r="E72" s="11">
        <f t="shared" ref="E72:E133" si="9">E71</f>
        <v>17696</v>
      </c>
      <c r="F72" s="12"/>
      <c r="G72" s="12">
        <f t="shared" si="6"/>
        <v>1474</v>
      </c>
      <c r="H72" s="12">
        <f t="shared" si="8"/>
        <v>541</v>
      </c>
      <c r="I72" s="12">
        <f t="shared" si="7"/>
        <v>933</v>
      </c>
      <c r="P72" s="26" t="s">
        <v>70</v>
      </c>
    </row>
    <row r="73" spans="1:16" x14ac:dyDescent="0.3">
      <c r="A73" s="9">
        <v>6</v>
      </c>
      <c r="B73" s="9"/>
      <c r="C73" s="10">
        <v>37104</v>
      </c>
      <c r="D73" s="10">
        <v>37135</v>
      </c>
      <c r="E73" s="11">
        <f t="shared" si="9"/>
        <v>17696</v>
      </c>
      <c r="F73" s="12"/>
      <c r="G73" s="12">
        <f t="shared" si="6"/>
        <v>1474</v>
      </c>
      <c r="H73" s="12">
        <f t="shared" si="8"/>
        <v>541</v>
      </c>
      <c r="I73" s="12">
        <f t="shared" si="7"/>
        <v>933</v>
      </c>
    </row>
    <row r="74" spans="1:16" x14ac:dyDescent="0.3">
      <c r="A74" s="9">
        <v>7</v>
      </c>
      <c r="B74" s="9"/>
      <c r="C74" s="10">
        <v>37135</v>
      </c>
      <c r="D74" s="10">
        <v>37165</v>
      </c>
      <c r="E74" s="11">
        <f t="shared" si="9"/>
        <v>17696</v>
      </c>
      <c r="F74" s="12"/>
      <c r="G74" s="12">
        <f t="shared" si="6"/>
        <v>1474</v>
      </c>
      <c r="H74" s="12">
        <f t="shared" si="8"/>
        <v>541</v>
      </c>
      <c r="I74" s="12">
        <f t="shared" si="7"/>
        <v>933</v>
      </c>
    </row>
    <row r="75" spans="1:16" x14ac:dyDescent="0.3">
      <c r="A75" s="9">
        <v>8</v>
      </c>
      <c r="B75" s="9"/>
      <c r="C75" s="10">
        <v>37165</v>
      </c>
      <c r="D75" s="10">
        <v>37196</v>
      </c>
      <c r="E75" s="11">
        <v>17944</v>
      </c>
      <c r="F75" s="12"/>
      <c r="G75" s="12">
        <f t="shared" si="6"/>
        <v>1495</v>
      </c>
      <c r="H75" s="12">
        <f t="shared" si="8"/>
        <v>541</v>
      </c>
      <c r="I75" s="12">
        <f t="shared" si="7"/>
        <v>954</v>
      </c>
    </row>
    <row r="76" spans="1:16" x14ac:dyDescent="0.3">
      <c r="A76" s="9">
        <v>9</v>
      </c>
      <c r="B76" s="9"/>
      <c r="C76" s="10">
        <v>37196</v>
      </c>
      <c r="D76" s="10">
        <v>37226</v>
      </c>
      <c r="E76" s="11">
        <v>18688</v>
      </c>
      <c r="F76" s="12"/>
      <c r="G76" s="12">
        <f t="shared" si="6"/>
        <v>1557</v>
      </c>
      <c r="H76" s="12">
        <f t="shared" si="8"/>
        <v>541</v>
      </c>
      <c r="I76" s="12">
        <f t="shared" si="7"/>
        <v>1016</v>
      </c>
    </row>
    <row r="77" spans="1:16" x14ac:dyDescent="0.3">
      <c r="A77" s="9">
        <v>10</v>
      </c>
      <c r="B77" s="9"/>
      <c r="C77" s="10">
        <v>37226</v>
      </c>
      <c r="D77" s="10">
        <v>37257</v>
      </c>
      <c r="E77" s="11">
        <v>17944</v>
      </c>
      <c r="F77" s="12"/>
      <c r="G77" s="12">
        <f t="shared" si="6"/>
        <v>1495</v>
      </c>
      <c r="H77" s="12">
        <f t="shared" si="8"/>
        <v>541</v>
      </c>
      <c r="I77" s="12">
        <f t="shared" si="7"/>
        <v>954</v>
      </c>
    </row>
    <row r="78" spans="1:16" x14ac:dyDescent="0.3">
      <c r="A78" s="9">
        <v>11</v>
      </c>
      <c r="B78" s="9"/>
      <c r="C78" s="10">
        <v>37257</v>
      </c>
      <c r="D78" s="10">
        <v>37288</v>
      </c>
      <c r="E78" s="11">
        <v>18488</v>
      </c>
      <c r="F78" s="12"/>
      <c r="G78" s="12">
        <f t="shared" si="6"/>
        <v>1540</v>
      </c>
      <c r="H78" s="12">
        <f t="shared" si="8"/>
        <v>541</v>
      </c>
      <c r="I78" s="12">
        <f t="shared" si="7"/>
        <v>999</v>
      </c>
    </row>
    <row r="79" spans="1:16" x14ac:dyDescent="0.3">
      <c r="A79" s="9">
        <v>12</v>
      </c>
      <c r="B79" s="17" t="s">
        <v>71</v>
      </c>
      <c r="C79" s="10">
        <v>37288</v>
      </c>
      <c r="D79" s="10">
        <v>37316</v>
      </c>
      <c r="E79" s="11">
        <f t="shared" si="9"/>
        <v>18488</v>
      </c>
      <c r="F79" s="12">
        <f>SUM(E68:E79)</f>
        <v>215918</v>
      </c>
      <c r="G79" s="12">
        <f t="shared" si="6"/>
        <v>1540</v>
      </c>
      <c r="H79" s="12">
        <f t="shared" si="8"/>
        <v>541</v>
      </c>
      <c r="I79" s="12">
        <f t="shared" si="7"/>
        <v>999</v>
      </c>
    </row>
    <row r="80" spans="1:16" x14ac:dyDescent="0.3">
      <c r="A80" s="9">
        <v>1</v>
      </c>
      <c r="B80" s="9"/>
      <c r="C80" s="10">
        <v>37316</v>
      </c>
      <c r="D80" s="10">
        <v>37347</v>
      </c>
      <c r="E80" s="11">
        <f t="shared" si="9"/>
        <v>18488</v>
      </c>
      <c r="F80" s="12"/>
      <c r="G80" s="12">
        <f t="shared" si="6"/>
        <v>1540</v>
      </c>
      <c r="H80" s="12">
        <f t="shared" si="8"/>
        <v>541</v>
      </c>
      <c r="I80" s="12">
        <f t="shared" si="7"/>
        <v>999</v>
      </c>
    </row>
    <row r="81" spans="1:9" x14ac:dyDescent="0.3">
      <c r="A81" s="9">
        <v>2</v>
      </c>
      <c r="B81" s="9"/>
      <c r="C81" s="10">
        <v>37347</v>
      </c>
      <c r="D81" s="10">
        <v>37377</v>
      </c>
      <c r="E81" s="11">
        <v>20528</v>
      </c>
      <c r="F81" s="12"/>
      <c r="G81" s="12">
        <f t="shared" si="6"/>
        <v>1710</v>
      </c>
      <c r="H81" s="12">
        <f t="shared" si="8"/>
        <v>541</v>
      </c>
      <c r="I81" s="12">
        <f t="shared" si="7"/>
        <v>1169</v>
      </c>
    </row>
    <row r="82" spans="1:9" x14ac:dyDescent="0.3">
      <c r="A82" s="9">
        <v>3</v>
      </c>
      <c r="B82" s="9"/>
      <c r="C82" s="10">
        <v>37377</v>
      </c>
      <c r="D82" s="10">
        <v>37408</v>
      </c>
      <c r="E82" s="11">
        <v>18998</v>
      </c>
      <c r="F82" s="12"/>
      <c r="G82" s="12">
        <f t="shared" si="6"/>
        <v>1583</v>
      </c>
      <c r="H82" s="12">
        <f t="shared" si="8"/>
        <v>541</v>
      </c>
      <c r="I82" s="12">
        <f t="shared" si="7"/>
        <v>1042</v>
      </c>
    </row>
    <row r="83" spans="1:9" x14ac:dyDescent="0.3">
      <c r="A83" s="9">
        <v>4</v>
      </c>
      <c r="B83" s="9"/>
      <c r="C83" s="10">
        <v>37408</v>
      </c>
      <c r="D83" s="10">
        <v>37438</v>
      </c>
      <c r="E83" s="11">
        <f t="shared" si="9"/>
        <v>18998</v>
      </c>
      <c r="F83" s="12"/>
      <c r="G83" s="12">
        <f t="shared" si="6"/>
        <v>1583</v>
      </c>
      <c r="H83" s="12">
        <f t="shared" si="8"/>
        <v>541</v>
      </c>
      <c r="I83" s="12">
        <f t="shared" si="7"/>
        <v>1042</v>
      </c>
    </row>
    <row r="84" spans="1:9" x14ac:dyDescent="0.3">
      <c r="A84" s="9">
        <v>5</v>
      </c>
      <c r="B84" s="9"/>
      <c r="C84" s="10">
        <v>37438</v>
      </c>
      <c r="D84" s="10">
        <v>37469</v>
      </c>
      <c r="E84" s="11">
        <f t="shared" si="9"/>
        <v>18998</v>
      </c>
      <c r="F84" s="12"/>
      <c r="G84" s="12">
        <f t="shared" si="6"/>
        <v>1583</v>
      </c>
      <c r="H84" s="12">
        <f t="shared" si="8"/>
        <v>541</v>
      </c>
      <c r="I84" s="12">
        <f t="shared" si="7"/>
        <v>1042</v>
      </c>
    </row>
    <row r="85" spans="1:9" x14ac:dyDescent="0.3">
      <c r="A85" s="9">
        <v>6</v>
      </c>
      <c r="B85" s="9"/>
      <c r="C85" s="10">
        <v>37469</v>
      </c>
      <c r="D85" s="10">
        <v>37500</v>
      </c>
      <c r="E85" s="11">
        <f t="shared" si="9"/>
        <v>18998</v>
      </c>
      <c r="F85" s="12"/>
      <c r="G85" s="12">
        <f t="shared" si="6"/>
        <v>1583</v>
      </c>
      <c r="H85" s="12">
        <f t="shared" si="8"/>
        <v>541</v>
      </c>
      <c r="I85" s="12">
        <f t="shared" si="7"/>
        <v>1042</v>
      </c>
    </row>
    <row r="86" spans="1:9" x14ac:dyDescent="0.3">
      <c r="A86" s="9">
        <v>7</v>
      </c>
      <c r="B86" s="9"/>
      <c r="C86" s="10">
        <v>37500</v>
      </c>
      <c r="D86" s="10">
        <v>37530</v>
      </c>
      <c r="E86" s="11">
        <f t="shared" si="9"/>
        <v>18998</v>
      </c>
      <c r="F86" s="12"/>
      <c r="G86" s="12">
        <f t="shared" si="6"/>
        <v>1583</v>
      </c>
      <c r="H86" s="12">
        <f t="shared" si="8"/>
        <v>541</v>
      </c>
      <c r="I86" s="12">
        <f t="shared" si="7"/>
        <v>1042</v>
      </c>
    </row>
    <row r="87" spans="1:9" x14ac:dyDescent="0.3">
      <c r="A87" s="9">
        <v>8</v>
      </c>
      <c r="B87" s="9"/>
      <c r="C87" s="10">
        <v>37530</v>
      </c>
      <c r="D87" s="10">
        <v>37561</v>
      </c>
      <c r="E87" s="11">
        <f t="shared" si="9"/>
        <v>18998</v>
      </c>
      <c r="F87" s="12"/>
      <c r="G87" s="12">
        <f t="shared" si="6"/>
        <v>1583</v>
      </c>
      <c r="H87" s="12">
        <f t="shared" si="8"/>
        <v>541</v>
      </c>
      <c r="I87" s="12">
        <f t="shared" si="7"/>
        <v>1042</v>
      </c>
    </row>
    <row r="88" spans="1:9" x14ac:dyDescent="0.3">
      <c r="A88" s="9">
        <v>9</v>
      </c>
      <c r="B88" s="9"/>
      <c r="C88" s="10">
        <v>37561</v>
      </c>
      <c r="D88" s="10">
        <v>37591</v>
      </c>
      <c r="E88" s="11">
        <v>19380</v>
      </c>
      <c r="F88" s="12"/>
      <c r="G88" s="12">
        <f t="shared" si="6"/>
        <v>1614</v>
      </c>
      <c r="H88" s="12">
        <f t="shared" si="8"/>
        <v>541</v>
      </c>
      <c r="I88" s="12">
        <f t="shared" si="7"/>
        <v>1073</v>
      </c>
    </row>
    <row r="89" spans="1:9" x14ac:dyDescent="0.3">
      <c r="A89" s="9">
        <v>10</v>
      </c>
      <c r="B89" s="9"/>
      <c r="C89" s="10">
        <v>37591</v>
      </c>
      <c r="D89" s="10">
        <v>37622</v>
      </c>
      <c r="E89" s="11">
        <f t="shared" si="9"/>
        <v>19380</v>
      </c>
      <c r="F89" s="12"/>
      <c r="G89" s="12">
        <f t="shared" si="6"/>
        <v>1614</v>
      </c>
      <c r="H89" s="12">
        <f t="shared" si="8"/>
        <v>541</v>
      </c>
      <c r="I89" s="12">
        <f t="shared" si="7"/>
        <v>1073</v>
      </c>
    </row>
    <row r="90" spans="1:9" x14ac:dyDescent="0.3">
      <c r="A90" s="9">
        <v>11</v>
      </c>
      <c r="B90" s="9"/>
      <c r="C90" s="10">
        <v>37622</v>
      </c>
      <c r="D90" s="10">
        <v>37653</v>
      </c>
      <c r="E90" s="11">
        <v>19950</v>
      </c>
      <c r="F90" s="12"/>
      <c r="G90" s="12">
        <f t="shared" si="6"/>
        <v>1662</v>
      </c>
      <c r="H90" s="12">
        <f t="shared" si="8"/>
        <v>541</v>
      </c>
      <c r="I90" s="12">
        <f t="shared" si="7"/>
        <v>1121</v>
      </c>
    </row>
    <row r="91" spans="1:9" x14ac:dyDescent="0.3">
      <c r="A91" s="9">
        <v>12</v>
      </c>
      <c r="B91" s="17" t="s">
        <v>72</v>
      </c>
      <c r="C91" s="10">
        <v>37653</v>
      </c>
      <c r="D91" s="10">
        <v>37681</v>
      </c>
      <c r="E91" s="11">
        <v>21478</v>
      </c>
      <c r="F91" s="12">
        <f>SUM(E80:E91)</f>
        <v>233192</v>
      </c>
      <c r="G91" s="12">
        <f t="shared" si="6"/>
        <v>1789</v>
      </c>
      <c r="H91" s="12">
        <f t="shared" si="8"/>
        <v>541</v>
      </c>
      <c r="I91" s="12">
        <f t="shared" si="7"/>
        <v>1248</v>
      </c>
    </row>
    <row r="92" spans="1:9" x14ac:dyDescent="0.3">
      <c r="A92" s="9">
        <v>1</v>
      </c>
      <c r="B92" s="9"/>
      <c r="C92" s="10">
        <v>37681</v>
      </c>
      <c r="D92" s="10">
        <v>37712</v>
      </c>
      <c r="E92" s="11">
        <v>19950</v>
      </c>
      <c r="F92" s="12"/>
      <c r="G92" s="12">
        <f t="shared" si="6"/>
        <v>1662</v>
      </c>
      <c r="H92" s="12">
        <f t="shared" si="8"/>
        <v>541</v>
      </c>
      <c r="I92" s="12">
        <f t="shared" si="7"/>
        <v>1121</v>
      </c>
    </row>
    <row r="93" spans="1:9" x14ac:dyDescent="0.3">
      <c r="A93" s="9">
        <v>2</v>
      </c>
      <c r="B93" s="9"/>
      <c r="C93" s="10">
        <v>37712</v>
      </c>
      <c r="D93" s="10">
        <v>37742</v>
      </c>
      <c r="E93" s="11">
        <v>20344</v>
      </c>
      <c r="F93" s="12"/>
      <c r="G93" s="12">
        <f t="shared" si="6"/>
        <v>1695</v>
      </c>
      <c r="H93" s="12">
        <f t="shared" si="8"/>
        <v>541</v>
      </c>
      <c r="I93" s="12">
        <f t="shared" si="7"/>
        <v>1154</v>
      </c>
    </row>
    <row r="94" spans="1:9" x14ac:dyDescent="0.3">
      <c r="A94" s="9">
        <v>3</v>
      </c>
      <c r="B94" s="9"/>
      <c r="C94" s="10">
        <v>37742</v>
      </c>
      <c r="D94" s="10">
        <v>37773</v>
      </c>
      <c r="E94" s="11">
        <f t="shared" si="9"/>
        <v>20344</v>
      </c>
      <c r="F94" s="12"/>
      <c r="G94" s="12">
        <f t="shared" si="6"/>
        <v>1695</v>
      </c>
      <c r="H94" s="12">
        <f t="shared" si="8"/>
        <v>541</v>
      </c>
      <c r="I94" s="12">
        <f t="shared" si="7"/>
        <v>1154</v>
      </c>
    </row>
    <row r="95" spans="1:9" x14ac:dyDescent="0.3">
      <c r="A95" s="9">
        <v>4</v>
      </c>
      <c r="B95" s="9"/>
      <c r="C95" s="10">
        <v>37773</v>
      </c>
      <c r="D95" s="10">
        <v>37803</v>
      </c>
      <c r="E95" s="11">
        <f t="shared" si="9"/>
        <v>20344</v>
      </c>
      <c r="F95" s="12"/>
      <c r="G95" s="12">
        <f t="shared" si="6"/>
        <v>1695</v>
      </c>
      <c r="H95" s="12">
        <f t="shared" si="8"/>
        <v>541</v>
      </c>
      <c r="I95" s="12">
        <f t="shared" si="7"/>
        <v>1154</v>
      </c>
    </row>
    <row r="96" spans="1:9" x14ac:dyDescent="0.3">
      <c r="A96" s="9">
        <v>5</v>
      </c>
      <c r="B96" s="9"/>
      <c r="C96" s="10">
        <v>37803</v>
      </c>
      <c r="D96" s="10">
        <v>37834</v>
      </c>
      <c r="E96" s="11">
        <f t="shared" si="9"/>
        <v>20344</v>
      </c>
      <c r="F96" s="12"/>
      <c r="G96" s="12">
        <f t="shared" si="6"/>
        <v>1695</v>
      </c>
      <c r="H96" s="12">
        <f t="shared" si="8"/>
        <v>541</v>
      </c>
      <c r="I96" s="12">
        <f t="shared" si="7"/>
        <v>1154</v>
      </c>
    </row>
    <row r="97" spans="1:9" x14ac:dyDescent="0.3">
      <c r="A97" s="9">
        <v>6</v>
      </c>
      <c r="B97" s="9"/>
      <c r="C97" s="10">
        <v>37834</v>
      </c>
      <c r="D97" s="10">
        <v>37865</v>
      </c>
      <c r="E97" s="11">
        <f t="shared" si="9"/>
        <v>20344</v>
      </c>
      <c r="F97" s="12"/>
      <c r="G97" s="12">
        <f t="shared" si="6"/>
        <v>1695</v>
      </c>
      <c r="H97" s="12">
        <f t="shared" si="8"/>
        <v>541</v>
      </c>
      <c r="I97" s="12">
        <f t="shared" si="7"/>
        <v>1154</v>
      </c>
    </row>
    <row r="98" spans="1:9" x14ac:dyDescent="0.3">
      <c r="A98" s="9">
        <v>7</v>
      </c>
      <c r="B98" s="9"/>
      <c r="C98" s="10">
        <v>37865</v>
      </c>
      <c r="D98" s="10">
        <v>37895</v>
      </c>
      <c r="E98" s="11">
        <v>22051</v>
      </c>
      <c r="F98" s="12"/>
      <c r="G98" s="12">
        <f t="shared" si="6"/>
        <v>1837</v>
      </c>
      <c r="H98" s="12">
        <f t="shared" si="8"/>
        <v>541</v>
      </c>
      <c r="I98" s="12">
        <f t="shared" si="7"/>
        <v>1296</v>
      </c>
    </row>
    <row r="99" spans="1:9" x14ac:dyDescent="0.3">
      <c r="A99" s="9">
        <v>8</v>
      </c>
      <c r="B99" s="9"/>
      <c r="C99" s="10">
        <v>37895</v>
      </c>
      <c r="D99" s="10">
        <v>37926</v>
      </c>
      <c r="E99" s="11">
        <v>20869</v>
      </c>
      <c r="F99" s="12"/>
      <c r="G99" s="12">
        <f t="shared" si="6"/>
        <v>1738</v>
      </c>
      <c r="H99" s="12">
        <f t="shared" si="8"/>
        <v>541</v>
      </c>
      <c r="I99" s="12">
        <f t="shared" si="7"/>
        <v>1197</v>
      </c>
    </row>
    <row r="100" spans="1:9" x14ac:dyDescent="0.3">
      <c r="A100" s="9">
        <v>9</v>
      </c>
      <c r="B100" s="9"/>
      <c r="C100" s="10">
        <v>37926</v>
      </c>
      <c r="D100" s="10">
        <v>37956</v>
      </c>
      <c r="E100" s="11">
        <f t="shared" si="9"/>
        <v>20869</v>
      </c>
      <c r="F100" s="12"/>
      <c r="G100" s="12">
        <f t="shared" si="6"/>
        <v>1738</v>
      </c>
      <c r="H100" s="12">
        <f t="shared" si="8"/>
        <v>541</v>
      </c>
      <c r="I100" s="12">
        <f t="shared" si="7"/>
        <v>1197</v>
      </c>
    </row>
    <row r="101" spans="1:9" x14ac:dyDescent="0.3">
      <c r="A101" s="9">
        <v>10</v>
      </c>
      <c r="B101" s="9"/>
      <c r="C101" s="10">
        <v>37956</v>
      </c>
      <c r="D101" s="10">
        <v>37987</v>
      </c>
      <c r="E101" s="11">
        <f t="shared" si="9"/>
        <v>20869</v>
      </c>
      <c r="F101" s="12"/>
      <c r="G101" s="12">
        <f t="shared" si="6"/>
        <v>1738</v>
      </c>
      <c r="H101" s="12">
        <f t="shared" si="8"/>
        <v>541</v>
      </c>
      <c r="I101" s="12">
        <f t="shared" si="7"/>
        <v>1197</v>
      </c>
    </row>
    <row r="102" spans="1:9" x14ac:dyDescent="0.3">
      <c r="A102" s="9">
        <v>11</v>
      </c>
      <c r="B102" s="9"/>
      <c r="C102" s="10">
        <v>37987</v>
      </c>
      <c r="D102" s="10">
        <v>38018</v>
      </c>
      <c r="E102" s="11">
        <v>22515</v>
      </c>
      <c r="F102" s="12"/>
      <c r="G102" s="12">
        <f t="shared" si="6"/>
        <v>1875</v>
      </c>
      <c r="H102" s="12">
        <f t="shared" si="8"/>
        <v>541</v>
      </c>
      <c r="I102" s="12">
        <f t="shared" si="7"/>
        <v>1334</v>
      </c>
    </row>
    <row r="103" spans="1:9" x14ac:dyDescent="0.3">
      <c r="A103" s="9">
        <v>12</v>
      </c>
      <c r="B103" s="17" t="s">
        <v>73</v>
      </c>
      <c r="C103" s="10">
        <v>38018</v>
      </c>
      <c r="D103" s="10">
        <v>38047</v>
      </c>
      <c r="E103" s="11">
        <v>21465</v>
      </c>
      <c r="F103" s="12">
        <f>SUM(E92:E103)</f>
        <v>250308</v>
      </c>
      <c r="G103" s="12">
        <f t="shared" si="6"/>
        <v>1788</v>
      </c>
      <c r="H103" s="12">
        <f t="shared" si="8"/>
        <v>541</v>
      </c>
      <c r="I103" s="12">
        <f t="shared" si="7"/>
        <v>1247</v>
      </c>
    </row>
    <row r="104" spans="1:9" x14ac:dyDescent="0.3">
      <c r="A104" s="9">
        <v>1</v>
      </c>
      <c r="B104" s="9"/>
      <c r="C104" s="10">
        <v>38047</v>
      </c>
      <c r="D104" s="10">
        <v>38078</v>
      </c>
      <c r="E104" s="11">
        <f t="shared" si="9"/>
        <v>21465</v>
      </c>
      <c r="F104" s="12"/>
      <c r="G104" s="12">
        <f t="shared" si="6"/>
        <v>1788</v>
      </c>
      <c r="H104" s="12">
        <f t="shared" si="8"/>
        <v>541</v>
      </c>
      <c r="I104" s="12">
        <f t="shared" si="7"/>
        <v>1247</v>
      </c>
    </row>
    <row r="105" spans="1:9" x14ac:dyDescent="0.3">
      <c r="A105" s="9">
        <v>2</v>
      </c>
      <c r="B105" s="9"/>
      <c r="C105" s="10">
        <v>38078</v>
      </c>
      <c r="D105" s="10">
        <v>38108</v>
      </c>
      <c r="E105" s="11">
        <f t="shared" si="9"/>
        <v>21465</v>
      </c>
      <c r="F105" s="12"/>
      <c r="G105" s="12">
        <f t="shared" si="6"/>
        <v>1788</v>
      </c>
      <c r="H105" s="12">
        <f t="shared" si="8"/>
        <v>541</v>
      </c>
      <c r="I105" s="12">
        <f t="shared" si="7"/>
        <v>1247</v>
      </c>
    </row>
    <row r="106" spans="1:9" x14ac:dyDescent="0.3">
      <c r="A106" s="9">
        <v>3</v>
      </c>
      <c r="B106" s="9"/>
      <c r="C106" s="10">
        <v>38108</v>
      </c>
      <c r="D106" s="10">
        <v>38139</v>
      </c>
      <c r="E106" s="11">
        <v>22478</v>
      </c>
      <c r="F106" s="12"/>
      <c r="G106" s="12">
        <f t="shared" si="6"/>
        <v>1872</v>
      </c>
      <c r="H106" s="12">
        <f t="shared" si="8"/>
        <v>541</v>
      </c>
      <c r="I106" s="12">
        <f t="shared" si="7"/>
        <v>1331</v>
      </c>
    </row>
    <row r="107" spans="1:9" x14ac:dyDescent="0.3">
      <c r="A107" s="9">
        <v>4</v>
      </c>
      <c r="B107" s="9"/>
      <c r="C107" s="10">
        <v>38139</v>
      </c>
      <c r="D107" s="10">
        <v>38169</v>
      </c>
      <c r="E107" s="11">
        <f t="shared" si="9"/>
        <v>22478</v>
      </c>
      <c r="F107" s="12"/>
      <c r="G107" s="12">
        <f t="shared" si="6"/>
        <v>1872</v>
      </c>
      <c r="H107" s="12">
        <f t="shared" si="8"/>
        <v>541</v>
      </c>
      <c r="I107" s="12">
        <f t="shared" si="7"/>
        <v>1331</v>
      </c>
    </row>
    <row r="108" spans="1:9" x14ac:dyDescent="0.3">
      <c r="A108" s="9">
        <v>5</v>
      </c>
      <c r="B108" s="9"/>
      <c r="C108" s="10">
        <v>38169</v>
      </c>
      <c r="D108" s="10">
        <v>38200</v>
      </c>
      <c r="E108" s="11">
        <f t="shared" si="9"/>
        <v>22478</v>
      </c>
      <c r="F108" s="12"/>
      <c r="G108" s="12">
        <f t="shared" si="6"/>
        <v>1872</v>
      </c>
      <c r="H108" s="12">
        <f t="shared" si="8"/>
        <v>541</v>
      </c>
      <c r="I108" s="12">
        <f t="shared" si="7"/>
        <v>1331</v>
      </c>
    </row>
    <row r="109" spans="1:9" x14ac:dyDescent="0.3">
      <c r="A109" s="9">
        <v>6</v>
      </c>
      <c r="B109" s="9"/>
      <c r="C109" s="10">
        <v>38200</v>
      </c>
      <c r="D109" s="10">
        <v>38231</v>
      </c>
      <c r="E109" s="11">
        <v>24504</v>
      </c>
      <c r="F109" s="12"/>
      <c r="G109" s="12">
        <f t="shared" si="6"/>
        <v>2041</v>
      </c>
      <c r="H109" s="12">
        <f t="shared" si="8"/>
        <v>541</v>
      </c>
      <c r="I109" s="12">
        <f t="shared" si="7"/>
        <v>1500</v>
      </c>
    </row>
    <row r="110" spans="1:9" x14ac:dyDescent="0.3">
      <c r="A110" s="9">
        <v>7</v>
      </c>
      <c r="B110" s="9"/>
      <c r="C110" s="10">
        <v>38231</v>
      </c>
      <c r="D110" s="10">
        <v>38261</v>
      </c>
      <c r="E110" s="11">
        <v>22478</v>
      </c>
      <c r="F110" s="12"/>
      <c r="G110" s="12">
        <f t="shared" si="6"/>
        <v>1872</v>
      </c>
      <c r="H110" s="12">
        <f t="shared" si="8"/>
        <v>541</v>
      </c>
      <c r="I110" s="12">
        <f t="shared" si="7"/>
        <v>1331</v>
      </c>
    </row>
    <row r="111" spans="1:9" x14ac:dyDescent="0.3">
      <c r="A111" s="9">
        <v>8</v>
      </c>
      <c r="B111" s="9"/>
      <c r="C111" s="10">
        <v>38261</v>
      </c>
      <c r="D111" s="10">
        <v>38292</v>
      </c>
      <c r="E111" s="11">
        <v>23085</v>
      </c>
      <c r="F111" s="12"/>
      <c r="G111" s="12">
        <f t="shared" si="6"/>
        <v>1923</v>
      </c>
      <c r="H111" s="12">
        <f t="shared" si="8"/>
        <v>541</v>
      </c>
      <c r="I111" s="12">
        <f t="shared" si="7"/>
        <v>1382</v>
      </c>
    </row>
    <row r="112" spans="1:9" x14ac:dyDescent="0.3">
      <c r="A112" s="9">
        <v>9</v>
      </c>
      <c r="B112" s="9"/>
      <c r="C112" s="10">
        <v>38292</v>
      </c>
      <c r="D112" s="10">
        <v>38322</v>
      </c>
      <c r="E112" s="11">
        <f t="shared" si="9"/>
        <v>23085</v>
      </c>
      <c r="F112" s="12"/>
      <c r="G112" s="12">
        <f t="shared" si="6"/>
        <v>1923</v>
      </c>
      <c r="H112" s="12">
        <f t="shared" si="8"/>
        <v>541</v>
      </c>
      <c r="I112" s="12">
        <f t="shared" si="7"/>
        <v>1382</v>
      </c>
    </row>
    <row r="113" spans="1:17" x14ac:dyDescent="0.3">
      <c r="A113" s="9">
        <v>10</v>
      </c>
      <c r="B113" s="9"/>
      <c r="C113" s="10">
        <v>38322</v>
      </c>
      <c r="D113" s="10">
        <v>38353</v>
      </c>
      <c r="E113" s="11">
        <v>24906</v>
      </c>
      <c r="F113" s="12"/>
      <c r="G113" s="12">
        <f t="shared" si="6"/>
        <v>2075</v>
      </c>
      <c r="H113" s="12">
        <f t="shared" si="8"/>
        <v>541</v>
      </c>
      <c r="I113" s="12">
        <f t="shared" si="7"/>
        <v>1534</v>
      </c>
    </row>
    <row r="114" spans="1:17" x14ac:dyDescent="0.3">
      <c r="A114" s="9">
        <v>11</v>
      </c>
      <c r="B114" s="9"/>
      <c r="C114" s="10">
        <v>38353</v>
      </c>
      <c r="D114" s="10">
        <v>38384</v>
      </c>
      <c r="E114" s="11">
        <v>23727</v>
      </c>
      <c r="F114" s="12"/>
      <c r="G114" s="12">
        <f t="shared" si="6"/>
        <v>1976</v>
      </c>
      <c r="H114" s="12">
        <f t="shared" si="8"/>
        <v>541</v>
      </c>
      <c r="I114" s="12">
        <f t="shared" si="7"/>
        <v>1435</v>
      </c>
    </row>
    <row r="115" spans="1:17" x14ac:dyDescent="0.3">
      <c r="A115" s="9">
        <v>12</v>
      </c>
      <c r="B115" s="17" t="s">
        <v>74</v>
      </c>
      <c r="C115" s="10">
        <v>38384</v>
      </c>
      <c r="D115" s="10">
        <v>38412</v>
      </c>
      <c r="E115" s="11">
        <f t="shared" si="9"/>
        <v>23727</v>
      </c>
      <c r="F115" s="12">
        <f>SUM(E104:E115)</f>
        <v>275876</v>
      </c>
      <c r="G115" s="12">
        <f t="shared" si="6"/>
        <v>1976</v>
      </c>
      <c r="H115" s="12">
        <f t="shared" si="8"/>
        <v>541</v>
      </c>
      <c r="I115" s="12">
        <f t="shared" si="7"/>
        <v>1435</v>
      </c>
    </row>
    <row r="116" spans="1:17" ht="15" x14ac:dyDescent="0.3">
      <c r="A116" s="9">
        <v>1</v>
      </c>
      <c r="B116" s="9"/>
      <c r="C116" s="10">
        <v>38412</v>
      </c>
      <c r="D116" s="10">
        <v>38443</v>
      </c>
      <c r="E116" s="11">
        <f t="shared" si="9"/>
        <v>23727</v>
      </c>
      <c r="F116" s="12"/>
      <c r="G116" s="12">
        <f t="shared" si="6"/>
        <v>1976</v>
      </c>
      <c r="H116" s="12">
        <f t="shared" si="8"/>
        <v>541</v>
      </c>
      <c r="I116" s="12">
        <f t="shared" si="7"/>
        <v>1435</v>
      </c>
      <c r="M116" s="49" t="s">
        <v>75</v>
      </c>
    </row>
    <row r="117" spans="1:17" ht="15" x14ac:dyDescent="0.3">
      <c r="A117" s="9">
        <v>2</v>
      </c>
      <c r="B117" s="9"/>
      <c r="C117" s="10">
        <v>38443</v>
      </c>
      <c r="D117" s="10">
        <v>38473</v>
      </c>
      <c r="E117" s="11">
        <v>24351</v>
      </c>
      <c r="F117" s="12"/>
      <c r="G117" s="12">
        <f t="shared" si="6"/>
        <v>2028</v>
      </c>
      <c r="H117" s="12">
        <f t="shared" si="8"/>
        <v>541</v>
      </c>
      <c r="I117" s="12">
        <f t="shared" si="7"/>
        <v>1487</v>
      </c>
      <c r="M117" s="50" t="s">
        <v>76</v>
      </c>
    </row>
    <row r="118" spans="1:17" ht="15" x14ac:dyDescent="0.3">
      <c r="A118" s="9">
        <v>3</v>
      </c>
      <c r="B118" s="9"/>
      <c r="C118" s="10">
        <v>38473</v>
      </c>
      <c r="D118" s="10">
        <v>38504</v>
      </c>
      <c r="E118" s="11">
        <v>26223</v>
      </c>
      <c r="F118" s="12"/>
      <c r="G118" s="12">
        <f t="shared" si="6"/>
        <v>2184</v>
      </c>
      <c r="H118" s="12">
        <f t="shared" si="8"/>
        <v>541</v>
      </c>
      <c r="I118" s="12">
        <f t="shared" si="7"/>
        <v>1643</v>
      </c>
      <c r="M118" s="49" t="s">
        <v>77</v>
      </c>
      <c r="Q118" s="3">
        <f>Q41</f>
        <v>2723013</v>
      </c>
    </row>
    <row r="119" spans="1:17" ht="15" x14ac:dyDescent="0.3">
      <c r="A119" s="9">
        <v>4</v>
      </c>
      <c r="B119" s="9"/>
      <c r="C119" s="10">
        <v>38504</v>
      </c>
      <c r="D119" s="10">
        <v>38534</v>
      </c>
      <c r="E119" s="11">
        <v>24351</v>
      </c>
      <c r="F119" s="12"/>
      <c r="G119" s="12">
        <f t="shared" si="6"/>
        <v>2028</v>
      </c>
      <c r="H119" s="12">
        <f t="shared" si="8"/>
        <v>541</v>
      </c>
      <c r="I119" s="12">
        <f t="shared" si="7"/>
        <v>1487</v>
      </c>
      <c r="M119" s="49" t="s">
        <v>78</v>
      </c>
      <c r="Q119" s="51">
        <v>7</v>
      </c>
    </row>
    <row r="120" spans="1:17" ht="15" x14ac:dyDescent="0.3">
      <c r="A120" s="9">
        <v>5</v>
      </c>
      <c r="B120" s="9"/>
      <c r="C120" s="10">
        <v>38534</v>
      </c>
      <c r="D120" s="10">
        <v>38565</v>
      </c>
      <c r="E120" s="11">
        <f t="shared" si="9"/>
        <v>24351</v>
      </c>
      <c r="F120" s="12"/>
      <c r="G120" s="12">
        <f t="shared" si="6"/>
        <v>2028</v>
      </c>
      <c r="H120" s="12">
        <f t="shared" si="8"/>
        <v>541</v>
      </c>
      <c r="I120" s="12">
        <f t="shared" si="7"/>
        <v>1487</v>
      </c>
      <c r="M120" s="49" t="s">
        <v>79</v>
      </c>
      <c r="Q120" s="3">
        <v>12</v>
      </c>
    </row>
    <row r="121" spans="1:17" ht="15" x14ac:dyDescent="0.3">
      <c r="A121" s="9">
        <v>6</v>
      </c>
      <c r="B121" s="9"/>
      <c r="C121" s="10">
        <v>38565</v>
      </c>
      <c r="D121" s="10">
        <v>38596</v>
      </c>
      <c r="E121" s="11">
        <f t="shared" si="9"/>
        <v>24351</v>
      </c>
      <c r="F121" s="12"/>
      <c r="G121" s="12">
        <f t="shared" si="6"/>
        <v>2028</v>
      </c>
      <c r="H121" s="12">
        <f t="shared" si="8"/>
        <v>541</v>
      </c>
      <c r="I121" s="12">
        <f t="shared" si="7"/>
        <v>1487</v>
      </c>
      <c r="M121" s="49" t="s">
        <v>80</v>
      </c>
      <c r="Q121" s="3">
        <v>8</v>
      </c>
    </row>
    <row r="122" spans="1:17" x14ac:dyDescent="0.3">
      <c r="A122" s="9">
        <v>7</v>
      </c>
      <c r="B122" s="9"/>
      <c r="C122" s="10">
        <v>38596</v>
      </c>
      <c r="D122" s="10">
        <v>38626</v>
      </c>
      <c r="E122" s="11">
        <f t="shared" si="9"/>
        <v>24351</v>
      </c>
      <c r="F122" s="12"/>
      <c r="G122" s="12">
        <f t="shared" si="6"/>
        <v>2028</v>
      </c>
      <c r="H122" s="12">
        <f t="shared" si="8"/>
        <v>541</v>
      </c>
      <c r="I122" s="12">
        <f t="shared" si="7"/>
        <v>1487</v>
      </c>
    </row>
    <row r="123" spans="1:17" ht="15" x14ac:dyDescent="0.3">
      <c r="A123" s="9">
        <v>8</v>
      </c>
      <c r="B123" s="9"/>
      <c r="C123" s="10">
        <v>38626</v>
      </c>
      <c r="D123" s="10">
        <v>38657</v>
      </c>
      <c r="E123" s="11">
        <v>25184</v>
      </c>
      <c r="F123" s="12"/>
      <c r="G123" s="12">
        <f t="shared" si="6"/>
        <v>2098</v>
      </c>
      <c r="H123" s="12">
        <f t="shared" si="8"/>
        <v>541</v>
      </c>
      <c r="I123" s="12">
        <f t="shared" si="7"/>
        <v>1557</v>
      </c>
      <c r="M123" s="49" t="s">
        <v>81</v>
      </c>
    </row>
    <row r="124" spans="1:17" ht="15" x14ac:dyDescent="0.3">
      <c r="A124" s="9">
        <v>9</v>
      </c>
      <c r="B124" s="9"/>
      <c r="C124" s="10">
        <v>38657</v>
      </c>
      <c r="D124" s="10">
        <v>38687</v>
      </c>
      <c r="E124" s="11">
        <f t="shared" si="9"/>
        <v>25184</v>
      </c>
      <c r="F124" s="12"/>
      <c r="G124" s="12">
        <f t="shared" si="6"/>
        <v>2098</v>
      </c>
      <c r="H124" s="12">
        <f t="shared" si="8"/>
        <v>541</v>
      </c>
      <c r="I124" s="12">
        <f t="shared" si="7"/>
        <v>1557</v>
      </c>
      <c r="M124" s="52" t="s">
        <v>82</v>
      </c>
    </row>
    <row r="125" spans="1:17" ht="15" x14ac:dyDescent="0.3">
      <c r="A125" s="9">
        <v>10</v>
      </c>
      <c r="B125" s="9"/>
      <c r="C125" s="10">
        <v>38687</v>
      </c>
      <c r="D125" s="10">
        <v>38718</v>
      </c>
      <c r="E125" s="11">
        <f t="shared" si="9"/>
        <v>25184</v>
      </c>
      <c r="F125" s="12"/>
      <c r="G125" s="12">
        <f t="shared" si="6"/>
        <v>2098</v>
      </c>
      <c r="H125" s="12">
        <f t="shared" si="8"/>
        <v>541</v>
      </c>
      <c r="I125" s="12">
        <f t="shared" si="7"/>
        <v>1557</v>
      </c>
      <c r="M125" s="52" t="s">
        <v>83</v>
      </c>
    </row>
    <row r="126" spans="1:17" ht="15" x14ac:dyDescent="0.3">
      <c r="A126" s="9">
        <v>11</v>
      </c>
      <c r="B126" s="9"/>
      <c r="C126" s="10">
        <v>38718</v>
      </c>
      <c r="D126" s="10">
        <v>38749</v>
      </c>
      <c r="E126" s="11">
        <v>25864</v>
      </c>
      <c r="F126" s="12"/>
      <c r="G126" s="12">
        <f t="shared" si="6"/>
        <v>2154</v>
      </c>
      <c r="H126" s="12">
        <f t="shared" si="8"/>
        <v>541</v>
      </c>
      <c r="I126" s="12">
        <f t="shared" si="7"/>
        <v>1613</v>
      </c>
      <c r="M126" s="52" t="s">
        <v>84</v>
      </c>
    </row>
    <row r="127" spans="1:17" x14ac:dyDescent="0.3">
      <c r="A127" s="9">
        <v>12</v>
      </c>
      <c r="B127" s="17" t="s">
        <v>85</v>
      </c>
      <c r="C127" s="10">
        <v>38749</v>
      </c>
      <c r="D127" s="10">
        <v>38777</v>
      </c>
      <c r="E127" s="11">
        <f t="shared" si="9"/>
        <v>25864</v>
      </c>
      <c r="F127" s="12">
        <f>SUM(E116:E127)</f>
        <v>298985</v>
      </c>
      <c r="G127" s="12">
        <f t="shared" si="6"/>
        <v>2154</v>
      </c>
      <c r="H127" s="12">
        <f t="shared" si="8"/>
        <v>541</v>
      </c>
      <c r="I127" s="12">
        <f t="shared" si="7"/>
        <v>1613</v>
      </c>
    </row>
    <row r="128" spans="1:17" ht="15" x14ac:dyDescent="0.3">
      <c r="A128" s="9">
        <v>1</v>
      </c>
      <c r="B128" s="9"/>
      <c r="C128" s="10">
        <v>38777</v>
      </c>
      <c r="D128" s="10">
        <v>38808</v>
      </c>
      <c r="E128" s="11">
        <f t="shared" si="9"/>
        <v>25864</v>
      </c>
      <c r="F128" s="12"/>
      <c r="G128" s="12">
        <f t="shared" si="6"/>
        <v>2154</v>
      </c>
      <c r="H128" s="12">
        <f t="shared" si="8"/>
        <v>541</v>
      </c>
      <c r="I128" s="12">
        <f t="shared" si="7"/>
        <v>1613</v>
      </c>
      <c r="M128" s="49" t="s">
        <v>86</v>
      </c>
      <c r="Q128" s="3">
        <f>(Q118*Q119)/(Q120*(1-POWER(1+Q119,(-1)* Q120*Q121)))</f>
        <v>1588424.25</v>
      </c>
    </row>
    <row r="129" spans="1:17" x14ac:dyDescent="0.3">
      <c r="A129" s="9">
        <v>2</v>
      </c>
      <c r="B129" s="9"/>
      <c r="C129" s="10">
        <v>38808</v>
      </c>
      <c r="D129" s="10">
        <v>38838</v>
      </c>
      <c r="E129" s="11">
        <v>26505</v>
      </c>
      <c r="F129" s="12"/>
      <c r="G129" s="12">
        <f t="shared" si="6"/>
        <v>2208</v>
      </c>
      <c r="H129" s="12">
        <f t="shared" si="8"/>
        <v>541</v>
      </c>
      <c r="I129" s="12">
        <f t="shared" si="7"/>
        <v>1667</v>
      </c>
      <c r="Q129" s="3" t="s">
        <v>87</v>
      </c>
    </row>
    <row r="130" spans="1:17" x14ac:dyDescent="0.3">
      <c r="A130" s="9">
        <v>3</v>
      </c>
      <c r="B130" s="9"/>
      <c r="C130" s="10">
        <v>38838</v>
      </c>
      <c r="D130" s="10">
        <v>38869</v>
      </c>
      <c r="E130" s="11">
        <v>28428</v>
      </c>
      <c r="F130" s="12"/>
      <c r="G130" s="12">
        <f t="shared" si="6"/>
        <v>2368</v>
      </c>
      <c r="H130" s="12">
        <f t="shared" si="8"/>
        <v>541</v>
      </c>
      <c r="I130" s="12">
        <f t="shared" si="7"/>
        <v>1827</v>
      </c>
    </row>
    <row r="131" spans="1:17" ht="15" x14ac:dyDescent="0.3">
      <c r="A131" s="9">
        <v>4</v>
      </c>
      <c r="B131" s="9"/>
      <c r="C131" s="10">
        <v>38869</v>
      </c>
      <c r="D131" s="10">
        <v>38899</v>
      </c>
      <c r="E131" s="11">
        <v>26505</v>
      </c>
      <c r="F131" s="12"/>
      <c r="G131" s="12">
        <f t="shared" si="6"/>
        <v>2208</v>
      </c>
      <c r="H131" s="12">
        <f t="shared" si="8"/>
        <v>541</v>
      </c>
      <c r="I131" s="12">
        <f t="shared" si="7"/>
        <v>1667</v>
      </c>
      <c r="M131" s="52" t="s">
        <v>84</v>
      </c>
      <c r="Q131" s="3">
        <f>Q118-Q128</f>
        <v>1134588.75</v>
      </c>
    </row>
    <row r="132" spans="1:17" x14ac:dyDescent="0.3">
      <c r="A132" s="9">
        <v>5</v>
      </c>
      <c r="B132" s="9"/>
      <c r="C132" s="10">
        <v>38899</v>
      </c>
      <c r="D132" s="10">
        <v>38930</v>
      </c>
      <c r="E132" s="11">
        <f t="shared" si="9"/>
        <v>26505</v>
      </c>
      <c r="F132" s="12"/>
      <c r="G132" s="12">
        <f t="shared" ref="G132:G195" si="10">ROUND(E132*8.33%,0)</f>
        <v>2208</v>
      </c>
      <c r="H132" s="12">
        <f t="shared" si="8"/>
        <v>541</v>
      </c>
      <c r="I132" s="12">
        <f t="shared" si="7"/>
        <v>1667</v>
      </c>
    </row>
    <row r="133" spans="1:17" x14ac:dyDescent="0.3">
      <c r="A133" s="9">
        <v>6</v>
      </c>
      <c r="B133" s="9"/>
      <c r="C133" s="10">
        <v>38930</v>
      </c>
      <c r="D133" s="10">
        <v>38961</v>
      </c>
      <c r="E133" s="11">
        <f t="shared" si="9"/>
        <v>26505</v>
      </c>
      <c r="F133" s="12"/>
      <c r="G133" s="12">
        <f t="shared" si="10"/>
        <v>2208</v>
      </c>
      <c r="H133" s="12">
        <f t="shared" si="8"/>
        <v>541</v>
      </c>
      <c r="I133" s="12">
        <f t="shared" ref="I133:I196" si="11">MAX(G133-H133,0)</f>
        <v>1667</v>
      </c>
    </row>
    <row r="134" spans="1:17" x14ac:dyDescent="0.3">
      <c r="A134" s="9">
        <v>7</v>
      </c>
      <c r="B134" s="9"/>
      <c r="C134" s="10">
        <v>38961</v>
      </c>
      <c r="D134" s="10">
        <v>38991</v>
      </c>
      <c r="E134" s="11">
        <v>27574</v>
      </c>
      <c r="F134" s="12"/>
      <c r="G134" s="12">
        <f t="shared" si="10"/>
        <v>2297</v>
      </c>
      <c r="H134" s="12">
        <f t="shared" si="8"/>
        <v>541</v>
      </c>
      <c r="I134" s="12">
        <f t="shared" si="11"/>
        <v>1756</v>
      </c>
    </row>
    <row r="135" spans="1:17" x14ac:dyDescent="0.3">
      <c r="A135" s="9">
        <v>8</v>
      </c>
      <c r="B135" s="9"/>
      <c r="C135" s="10">
        <v>38991</v>
      </c>
      <c r="D135" s="10">
        <v>39022</v>
      </c>
      <c r="E135" s="11">
        <f t="shared" ref="E135:E196" si="12">E134</f>
        <v>27574</v>
      </c>
      <c r="F135" s="12"/>
      <c r="G135" s="12">
        <f t="shared" si="10"/>
        <v>2297</v>
      </c>
      <c r="H135" s="12">
        <f t="shared" ref="H135:H198" si="13">IF(E135=0,0,541)</f>
        <v>541</v>
      </c>
      <c r="I135" s="12">
        <f t="shared" si="11"/>
        <v>1756</v>
      </c>
    </row>
    <row r="136" spans="1:17" x14ac:dyDescent="0.3">
      <c r="A136" s="9">
        <v>9</v>
      </c>
      <c r="B136" s="9"/>
      <c r="C136" s="10">
        <v>39022</v>
      </c>
      <c r="D136" s="10">
        <v>39052</v>
      </c>
      <c r="E136" s="11">
        <f t="shared" si="12"/>
        <v>27574</v>
      </c>
      <c r="F136" s="12"/>
      <c r="G136" s="12">
        <f t="shared" si="10"/>
        <v>2297</v>
      </c>
      <c r="H136" s="12">
        <f t="shared" si="13"/>
        <v>541</v>
      </c>
      <c r="I136" s="12">
        <f t="shared" si="11"/>
        <v>1756</v>
      </c>
    </row>
    <row r="137" spans="1:17" x14ac:dyDescent="0.3">
      <c r="A137" s="9">
        <v>10</v>
      </c>
      <c r="B137" s="9"/>
      <c r="C137" s="10">
        <v>39052</v>
      </c>
      <c r="D137" s="10">
        <v>39083</v>
      </c>
      <c r="E137" s="11">
        <f t="shared" si="12"/>
        <v>27574</v>
      </c>
      <c r="F137" s="12"/>
      <c r="G137" s="12">
        <f t="shared" si="10"/>
        <v>2297</v>
      </c>
      <c r="H137" s="12">
        <f t="shared" si="13"/>
        <v>541</v>
      </c>
      <c r="I137" s="12">
        <f t="shared" si="11"/>
        <v>1756</v>
      </c>
    </row>
    <row r="138" spans="1:17" x14ac:dyDescent="0.3">
      <c r="A138" s="9">
        <v>11</v>
      </c>
      <c r="B138" s="9"/>
      <c r="C138" s="10">
        <v>39083</v>
      </c>
      <c r="D138" s="10">
        <v>39114</v>
      </c>
      <c r="E138" s="11">
        <v>28300</v>
      </c>
      <c r="F138" s="12"/>
      <c r="G138" s="12">
        <f t="shared" si="10"/>
        <v>2357</v>
      </c>
      <c r="H138" s="12">
        <f t="shared" si="13"/>
        <v>541</v>
      </c>
      <c r="I138" s="12">
        <f t="shared" si="11"/>
        <v>1816</v>
      </c>
    </row>
    <row r="139" spans="1:17" x14ac:dyDescent="0.3">
      <c r="A139" s="9">
        <v>12</v>
      </c>
      <c r="B139" s="17" t="s">
        <v>88</v>
      </c>
      <c r="C139" s="10">
        <v>39114</v>
      </c>
      <c r="D139" s="10">
        <v>39142</v>
      </c>
      <c r="E139" s="11">
        <f t="shared" si="12"/>
        <v>28300</v>
      </c>
      <c r="F139" s="12">
        <f>SUM(E128:E139)</f>
        <v>327208</v>
      </c>
      <c r="G139" s="12">
        <f t="shared" si="10"/>
        <v>2357</v>
      </c>
      <c r="H139" s="12">
        <f t="shared" si="13"/>
        <v>541</v>
      </c>
      <c r="I139" s="12">
        <f t="shared" si="11"/>
        <v>1816</v>
      </c>
    </row>
    <row r="140" spans="1:17" x14ac:dyDescent="0.3">
      <c r="A140" s="9">
        <v>1</v>
      </c>
      <c r="B140" s="9"/>
      <c r="C140" s="10">
        <v>39142</v>
      </c>
      <c r="D140" s="10">
        <v>39173</v>
      </c>
      <c r="E140" s="11">
        <v>30799</v>
      </c>
      <c r="F140" s="12"/>
      <c r="G140" s="12">
        <f t="shared" si="10"/>
        <v>2566</v>
      </c>
      <c r="H140" s="12">
        <f t="shared" si="13"/>
        <v>541</v>
      </c>
      <c r="I140" s="12">
        <f t="shared" si="11"/>
        <v>2025</v>
      </c>
    </row>
    <row r="141" spans="1:17" x14ac:dyDescent="0.3">
      <c r="A141" s="9">
        <v>2</v>
      </c>
      <c r="B141" s="9"/>
      <c r="C141" s="10">
        <v>39173</v>
      </c>
      <c r="D141" s="10">
        <v>39203</v>
      </c>
      <c r="E141" s="11">
        <v>31754</v>
      </c>
      <c r="F141" s="12"/>
      <c r="G141" s="12">
        <f t="shared" si="10"/>
        <v>2645</v>
      </c>
      <c r="H141" s="12">
        <f t="shared" si="13"/>
        <v>541</v>
      </c>
      <c r="I141" s="12">
        <f t="shared" si="11"/>
        <v>2104</v>
      </c>
    </row>
    <row r="142" spans="1:17" x14ac:dyDescent="0.3">
      <c r="A142" s="9">
        <v>3</v>
      </c>
      <c r="B142" s="9"/>
      <c r="C142" s="10">
        <v>39203</v>
      </c>
      <c r="D142" s="10">
        <v>39234</v>
      </c>
      <c r="E142" s="11">
        <v>29616</v>
      </c>
      <c r="F142" s="12"/>
      <c r="G142" s="12">
        <f t="shared" si="10"/>
        <v>2467</v>
      </c>
      <c r="H142" s="12">
        <f t="shared" si="13"/>
        <v>541</v>
      </c>
      <c r="I142" s="12">
        <f t="shared" si="11"/>
        <v>1926</v>
      </c>
    </row>
    <row r="143" spans="1:17" x14ac:dyDescent="0.3">
      <c r="A143" s="9">
        <v>4</v>
      </c>
      <c r="B143" s="9"/>
      <c r="C143" s="10">
        <v>39234</v>
      </c>
      <c r="D143" s="10">
        <v>39264</v>
      </c>
      <c r="E143" s="11">
        <v>33564</v>
      </c>
      <c r="F143" s="12"/>
      <c r="G143" s="12">
        <f t="shared" si="10"/>
        <v>2796</v>
      </c>
      <c r="H143" s="12">
        <f t="shared" si="13"/>
        <v>541</v>
      </c>
      <c r="I143" s="12">
        <f t="shared" si="11"/>
        <v>2255</v>
      </c>
    </row>
    <row r="144" spans="1:17" x14ac:dyDescent="0.3">
      <c r="A144" s="9">
        <v>5</v>
      </c>
      <c r="B144" s="9"/>
      <c r="C144" s="10">
        <v>39264</v>
      </c>
      <c r="D144" s="10">
        <v>39295</v>
      </c>
      <c r="E144" s="11">
        <v>29616</v>
      </c>
      <c r="F144" s="12"/>
      <c r="G144" s="12">
        <f t="shared" si="10"/>
        <v>2467</v>
      </c>
      <c r="H144" s="12">
        <f t="shared" si="13"/>
        <v>541</v>
      </c>
      <c r="I144" s="12">
        <f t="shared" si="11"/>
        <v>1926</v>
      </c>
    </row>
    <row r="145" spans="1:9" x14ac:dyDescent="0.3">
      <c r="A145" s="9">
        <v>6</v>
      </c>
      <c r="B145" s="9"/>
      <c r="C145" s="10">
        <v>39295</v>
      </c>
      <c r="D145" s="10">
        <v>39326</v>
      </c>
      <c r="E145" s="11">
        <f t="shared" si="12"/>
        <v>29616</v>
      </c>
      <c r="F145" s="12"/>
      <c r="G145" s="12">
        <f t="shared" si="10"/>
        <v>2467</v>
      </c>
      <c r="H145" s="12">
        <f t="shared" si="13"/>
        <v>541</v>
      </c>
      <c r="I145" s="12">
        <f t="shared" si="11"/>
        <v>1926</v>
      </c>
    </row>
    <row r="146" spans="1:9" x14ac:dyDescent="0.3">
      <c r="A146" s="9">
        <v>7</v>
      </c>
      <c r="B146" s="9"/>
      <c r="C146" s="10">
        <v>39326</v>
      </c>
      <c r="D146" s="10">
        <v>39356</v>
      </c>
      <c r="E146" s="11">
        <v>30933</v>
      </c>
      <c r="F146" s="12"/>
      <c r="G146" s="12">
        <f t="shared" si="10"/>
        <v>2577</v>
      </c>
      <c r="H146" s="12">
        <f t="shared" si="13"/>
        <v>541</v>
      </c>
      <c r="I146" s="12">
        <f t="shared" si="11"/>
        <v>2036</v>
      </c>
    </row>
    <row r="147" spans="1:9" x14ac:dyDescent="0.3">
      <c r="A147" s="9">
        <v>8</v>
      </c>
      <c r="B147" s="9"/>
      <c r="C147" s="10">
        <v>39356</v>
      </c>
      <c r="D147" s="10">
        <v>39387</v>
      </c>
      <c r="E147" s="11">
        <v>33565</v>
      </c>
      <c r="F147" s="12"/>
      <c r="G147" s="12">
        <f t="shared" si="10"/>
        <v>2796</v>
      </c>
      <c r="H147" s="12">
        <f t="shared" si="13"/>
        <v>541</v>
      </c>
      <c r="I147" s="12">
        <f t="shared" si="11"/>
        <v>2255</v>
      </c>
    </row>
    <row r="148" spans="1:9" x14ac:dyDescent="0.3">
      <c r="A148" s="9">
        <v>9</v>
      </c>
      <c r="B148" s="9"/>
      <c r="C148" s="10">
        <v>39387</v>
      </c>
      <c r="D148" s="10">
        <v>39417</v>
      </c>
      <c r="E148" s="11">
        <v>30933</v>
      </c>
      <c r="F148" s="12"/>
      <c r="G148" s="12">
        <f t="shared" si="10"/>
        <v>2577</v>
      </c>
      <c r="H148" s="12">
        <f t="shared" si="13"/>
        <v>541</v>
      </c>
      <c r="I148" s="12">
        <f t="shared" si="11"/>
        <v>2036</v>
      </c>
    </row>
    <row r="149" spans="1:9" x14ac:dyDescent="0.3">
      <c r="A149" s="9">
        <v>10</v>
      </c>
      <c r="B149" s="9"/>
      <c r="C149" s="10">
        <v>39417</v>
      </c>
      <c r="D149" s="10">
        <v>39448</v>
      </c>
      <c r="E149" s="11">
        <f t="shared" si="12"/>
        <v>30933</v>
      </c>
      <c r="F149" s="12"/>
      <c r="G149" s="12">
        <f t="shared" si="10"/>
        <v>2577</v>
      </c>
      <c r="H149" s="12">
        <f t="shared" si="13"/>
        <v>541</v>
      </c>
      <c r="I149" s="12">
        <f t="shared" si="11"/>
        <v>2036</v>
      </c>
    </row>
    <row r="150" spans="1:9" x14ac:dyDescent="0.3">
      <c r="A150" s="9">
        <v>11</v>
      </c>
      <c r="B150" s="9"/>
      <c r="C150" s="10">
        <v>39448</v>
      </c>
      <c r="D150" s="10">
        <v>39479</v>
      </c>
      <c r="E150" s="11">
        <v>31725</v>
      </c>
      <c r="F150" s="12"/>
      <c r="G150" s="12">
        <f t="shared" si="10"/>
        <v>2643</v>
      </c>
      <c r="H150" s="12">
        <f t="shared" si="13"/>
        <v>541</v>
      </c>
      <c r="I150" s="12">
        <f t="shared" si="11"/>
        <v>2102</v>
      </c>
    </row>
    <row r="151" spans="1:9" x14ac:dyDescent="0.3">
      <c r="A151" s="9">
        <v>12</v>
      </c>
      <c r="B151" s="17" t="s">
        <v>89</v>
      </c>
      <c r="C151" s="10">
        <v>39479</v>
      </c>
      <c r="D151" s="10">
        <v>39508</v>
      </c>
      <c r="E151" s="11">
        <f t="shared" si="12"/>
        <v>31725</v>
      </c>
      <c r="F151" s="12">
        <f>SUM(E140:E151)</f>
        <v>374779</v>
      </c>
      <c r="G151" s="12">
        <f t="shared" si="10"/>
        <v>2643</v>
      </c>
      <c r="H151" s="12">
        <f t="shared" si="13"/>
        <v>541</v>
      </c>
      <c r="I151" s="12">
        <f t="shared" si="11"/>
        <v>2102</v>
      </c>
    </row>
    <row r="152" spans="1:9" x14ac:dyDescent="0.3">
      <c r="A152" s="9">
        <v>1</v>
      </c>
      <c r="B152" s="9"/>
      <c r="C152" s="10">
        <v>39508</v>
      </c>
      <c r="D152" s="10">
        <v>39539</v>
      </c>
      <c r="E152" s="11">
        <v>33075</v>
      </c>
      <c r="F152" s="12"/>
      <c r="G152" s="12">
        <f t="shared" si="10"/>
        <v>2755</v>
      </c>
      <c r="H152" s="12">
        <f t="shared" si="13"/>
        <v>541</v>
      </c>
      <c r="I152" s="12">
        <f t="shared" si="11"/>
        <v>2214</v>
      </c>
    </row>
    <row r="153" spans="1:9" x14ac:dyDescent="0.3">
      <c r="A153" s="9">
        <v>2</v>
      </c>
      <c r="B153" s="9"/>
      <c r="C153" s="10">
        <v>39539</v>
      </c>
      <c r="D153" s="10">
        <v>39569</v>
      </c>
      <c r="E153" s="11">
        <v>35775</v>
      </c>
      <c r="F153" s="12"/>
      <c r="G153" s="12">
        <f t="shared" si="10"/>
        <v>2980</v>
      </c>
      <c r="H153" s="12">
        <f t="shared" si="13"/>
        <v>541</v>
      </c>
      <c r="I153" s="12">
        <f t="shared" si="11"/>
        <v>2439</v>
      </c>
    </row>
    <row r="154" spans="1:9" x14ac:dyDescent="0.3">
      <c r="A154" s="9">
        <v>3</v>
      </c>
      <c r="B154" s="9"/>
      <c r="C154" s="10">
        <v>39569</v>
      </c>
      <c r="D154" s="10">
        <v>39600</v>
      </c>
      <c r="E154" s="11">
        <v>33075</v>
      </c>
      <c r="F154" s="12"/>
      <c r="G154" s="12">
        <f t="shared" si="10"/>
        <v>2755</v>
      </c>
      <c r="H154" s="12">
        <f t="shared" si="13"/>
        <v>541</v>
      </c>
      <c r="I154" s="12">
        <f t="shared" si="11"/>
        <v>2214</v>
      </c>
    </row>
    <row r="155" spans="1:9" x14ac:dyDescent="0.3">
      <c r="A155" s="9">
        <v>4</v>
      </c>
      <c r="B155" s="9"/>
      <c r="C155" s="10">
        <v>39600</v>
      </c>
      <c r="D155" s="10">
        <v>39630</v>
      </c>
      <c r="E155" s="11">
        <f t="shared" si="12"/>
        <v>33075</v>
      </c>
      <c r="F155" s="12"/>
      <c r="G155" s="12">
        <f t="shared" si="10"/>
        <v>2755</v>
      </c>
      <c r="H155" s="12">
        <f t="shared" si="13"/>
        <v>541</v>
      </c>
      <c r="I155" s="12">
        <f t="shared" si="11"/>
        <v>2214</v>
      </c>
    </row>
    <row r="156" spans="1:9" x14ac:dyDescent="0.3">
      <c r="A156" s="9">
        <v>5</v>
      </c>
      <c r="B156" s="9"/>
      <c r="C156" s="10">
        <v>39630</v>
      </c>
      <c r="D156" s="10">
        <v>39661</v>
      </c>
      <c r="E156" s="11">
        <v>33075</v>
      </c>
      <c r="F156" s="12"/>
      <c r="G156" s="12">
        <f t="shared" si="10"/>
        <v>2755</v>
      </c>
      <c r="H156" s="12">
        <f t="shared" si="13"/>
        <v>541</v>
      </c>
      <c r="I156" s="12">
        <f t="shared" si="11"/>
        <v>2214</v>
      </c>
    </row>
    <row r="157" spans="1:9" x14ac:dyDescent="0.3">
      <c r="A157" s="9">
        <v>6</v>
      </c>
      <c r="B157" s="9"/>
      <c r="C157" s="10">
        <v>39661</v>
      </c>
      <c r="D157" s="10">
        <v>39692</v>
      </c>
      <c r="E157" s="11">
        <v>35213</v>
      </c>
      <c r="F157" s="12"/>
      <c r="G157" s="12">
        <f t="shared" si="10"/>
        <v>2933</v>
      </c>
      <c r="H157" s="12">
        <f t="shared" si="13"/>
        <v>541</v>
      </c>
      <c r="I157" s="12">
        <f t="shared" si="11"/>
        <v>2392</v>
      </c>
    </row>
    <row r="158" spans="1:9" x14ac:dyDescent="0.3">
      <c r="A158" s="9">
        <v>7</v>
      </c>
      <c r="B158" s="9"/>
      <c r="C158" s="10">
        <v>39692</v>
      </c>
      <c r="D158" s="10">
        <v>39722</v>
      </c>
      <c r="E158" s="11">
        <v>33075</v>
      </c>
      <c r="F158" s="12"/>
      <c r="G158" s="12">
        <f t="shared" si="10"/>
        <v>2755</v>
      </c>
      <c r="H158" s="12">
        <f t="shared" si="13"/>
        <v>541</v>
      </c>
      <c r="I158" s="12">
        <f t="shared" si="11"/>
        <v>2214</v>
      </c>
    </row>
    <row r="159" spans="1:9" x14ac:dyDescent="0.3">
      <c r="A159" s="9">
        <v>8</v>
      </c>
      <c r="B159" s="9"/>
      <c r="C159" s="10">
        <v>39722</v>
      </c>
      <c r="D159" s="10">
        <v>39753</v>
      </c>
      <c r="E159" s="11">
        <v>43256</v>
      </c>
      <c r="F159" s="12"/>
      <c r="G159" s="12">
        <f t="shared" si="10"/>
        <v>3603</v>
      </c>
      <c r="H159" s="12">
        <f t="shared" si="13"/>
        <v>541</v>
      </c>
      <c r="I159" s="12">
        <f t="shared" si="11"/>
        <v>3062</v>
      </c>
    </row>
    <row r="160" spans="1:9" x14ac:dyDescent="0.3">
      <c r="A160" s="9">
        <v>9</v>
      </c>
      <c r="B160" s="9"/>
      <c r="C160" s="10">
        <v>39753</v>
      </c>
      <c r="D160" s="10">
        <v>39783</v>
      </c>
      <c r="E160" s="11">
        <f t="shared" si="12"/>
        <v>43256</v>
      </c>
      <c r="F160" s="12"/>
      <c r="G160" s="12">
        <f t="shared" si="10"/>
        <v>3603</v>
      </c>
      <c r="H160" s="12">
        <f t="shared" si="13"/>
        <v>541</v>
      </c>
      <c r="I160" s="12">
        <f t="shared" si="11"/>
        <v>3062</v>
      </c>
    </row>
    <row r="161" spans="1:9" x14ac:dyDescent="0.3">
      <c r="A161" s="9">
        <v>10</v>
      </c>
      <c r="B161" s="9"/>
      <c r="C161" s="10">
        <v>39783</v>
      </c>
      <c r="D161" s="10">
        <v>39814</v>
      </c>
      <c r="E161" s="11">
        <f t="shared" si="12"/>
        <v>43256</v>
      </c>
      <c r="F161" s="12"/>
      <c r="G161" s="12">
        <f t="shared" si="10"/>
        <v>3603</v>
      </c>
      <c r="H161" s="12">
        <f t="shared" si="13"/>
        <v>541</v>
      </c>
      <c r="I161" s="12">
        <f t="shared" si="11"/>
        <v>3062</v>
      </c>
    </row>
    <row r="162" spans="1:9" x14ac:dyDescent="0.3">
      <c r="A162" s="9">
        <v>11</v>
      </c>
      <c r="B162" s="9"/>
      <c r="C162" s="10">
        <v>39814</v>
      </c>
      <c r="D162" s="10">
        <v>39845</v>
      </c>
      <c r="E162" s="11">
        <f t="shared" si="12"/>
        <v>43256</v>
      </c>
      <c r="F162" s="12"/>
      <c r="G162" s="12">
        <f t="shared" si="10"/>
        <v>3603</v>
      </c>
      <c r="H162" s="12">
        <f t="shared" si="13"/>
        <v>541</v>
      </c>
      <c r="I162" s="12">
        <f t="shared" si="11"/>
        <v>3062</v>
      </c>
    </row>
    <row r="163" spans="1:9" x14ac:dyDescent="0.3">
      <c r="A163" s="9">
        <v>12</v>
      </c>
      <c r="B163" s="17" t="s">
        <v>90</v>
      </c>
      <c r="C163" s="10">
        <v>39845</v>
      </c>
      <c r="D163" s="10">
        <v>39873</v>
      </c>
      <c r="E163" s="11">
        <f t="shared" si="12"/>
        <v>43256</v>
      </c>
      <c r="F163" s="12">
        <f>SUM(E152:E163)</f>
        <v>452643</v>
      </c>
      <c r="G163" s="12">
        <f t="shared" si="10"/>
        <v>3603</v>
      </c>
      <c r="H163" s="12">
        <f t="shared" si="13"/>
        <v>541</v>
      </c>
      <c r="I163" s="12">
        <f t="shared" si="11"/>
        <v>3062</v>
      </c>
    </row>
    <row r="164" spans="1:9" x14ac:dyDescent="0.3">
      <c r="A164" s="9">
        <v>1</v>
      </c>
      <c r="B164" s="9"/>
      <c r="C164" s="10">
        <v>39873</v>
      </c>
      <c r="D164" s="10">
        <v>39904</v>
      </c>
      <c r="E164" s="11">
        <v>313039</v>
      </c>
      <c r="F164" s="12"/>
      <c r="G164" s="12">
        <f t="shared" si="10"/>
        <v>26076</v>
      </c>
      <c r="H164" s="12">
        <f t="shared" si="13"/>
        <v>541</v>
      </c>
      <c r="I164" s="12">
        <f t="shared" si="11"/>
        <v>25535</v>
      </c>
    </row>
    <row r="165" spans="1:9" x14ac:dyDescent="0.3">
      <c r="A165" s="9">
        <v>2</v>
      </c>
      <c r="B165" s="9"/>
      <c r="C165" s="10">
        <v>39904</v>
      </c>
      <c r="D165" s="10">
        <v>39934</v>
      </c>
      <c r="E165" s="11">
        <v>45494</v>
      </c>
      <c r="F165" s="12"/>
      <c r="G165" s="12">
        <f t="shared" si="10"/>
        <v>3790</v>
      </c>
      <c r="H165" s="12">
        <f t="shared" si="13"/>
        <v>541</v>
      </c>
      <c r="I165" s="12">
        <f t="shared" si="11"/>
        <v>3249</v>
      </c>
    </row>
    <row r="166" spans="1:9" x14ac:dyDescent="0.3">
      <c r="A166" s="9">
        <v>3</v>
      </c>
      <c r="B166" s="9"/>
      <c r="C166" s="10">
        <v>39934</v>
      </c>
      <c r="D166" s="10">
        <v>39965</v>
      </c>
      <c r="E166" s="11">
        <v>45494</v>
      </c>
      <c r="F166" s="12"/>
      <c r="G166" s="12">
        <f t="shared" si="10"/>
        <v>3790</v>
      </c>
      <c r="H166" s="12">
        <f t="shared" si="13"/>
        <v>541</v>
      </c>
      <c r="I166" s="12">
        <f t="shared" si="11"/>
        <v>3249</v>
      </c>
    </row>
    <row r="167" spans="1:9" x14ac:dyDescent="0.3">
      <c r="A167" s="9">
        <v>4</v>
      </c>
      <c r="B167" s="9"/>
      <c r="C167" s="10">
        <v>39965</v>
      </c>
      <c r="D167" s="10">
        <v>39995</v>
      </c>
      <c r="E167" s="11">
        <v>49970</v>
      </c>
      <c r="F167" s="12"/>
      <c r="G167" s="12">
        <f t="shared" si="10"/>
        <v>4163</v>
      </c>
      <c r="H167" s="12">
        <f t="shared" si="13"/>
        <v>541</v>
      </c>
      <c r="I167" s="12">
        <f t="shared" si="11"/>
        <v>3622</v>
      </c>
    </row>
    <row r="168" spans="1:9" x14ac:dyDescent="0.3">
      <c r="A168" s="9">
        <v>5</v>
      </c>
      <c r="B168" s="9"/>
      <c r="C168" s="10">
        <v>39995</v>
      </c>
      <c r="D168" s="10">
        <v>40026</v>
      </c>
      <c r="E168" s="11">
        <v>46860</v>
      </c>
      <c r="F168" s="12"/>
      <c r="G168" s="12">
        <f t="shared" si="10"/>
        <v>3903</v>
      </c>
      <c r="H168" s="12">
        <f t="shared" si="13"/>
        <v>541</v>
      </c>
      <c r="I168" s="12">
        <f t="shared" si="11"/>
        <v>3362</v>
      </c>
    </row>
    <row r="169" spans="1:9" x14ac:dyDescent="0.3">
      <c r="A169" s="9">
        <v>6</v>
      </c>
      <c r="B169" s="9"/>
      <c r="C169" s="10">
        <v>40026</v>
      </c>
      <c r="D169" s="10">
        <v>40057</v>
      </c>
      <c r="E169" s="11">
        <f t="shared" si="12"/>
        <v>46860</v>
      </c>
      <c r="F169" s="12"/>
      <c r="G169" s="12">
        <f t="shared" si="10"/>
        <v>3903</v>
      </c>
      <c r="H169" s="12">
        <f t="shared" si="13"/>
        <v>541</v>
      </c>
      <c r="I169" s="12">
        <f t="shared" si="11"/>
        <v>3362</v>
      </c>
    </row>
    <row r="170" spans="1:9" x14ac:dyDescent="0.3">
      <c r="A170" s="9">
        <v>7</v>
      </c>
      <c r="B170" s="9"/>
      <c r="C170" s="10">
        <v>40057</v>
      </c>
      <c r="D170" s="10">
        <v>40087</v>
      </c>
      <c r="E170" s="11">
        <f t="shared" si="12"/>
        <v>46860</v>
      </c>
      <c r="F170" s="12"/>
      <c r="G170" s="12">
        <f t="shared" si="10"/>
        <v>3903</v>
      </c>
      <c r="H170" s="12">
        <f t="shared" si="13"/>
        <v>541</v>
      </c>
      <c r="I170" s="12">
        <f t="shared" si="11"/>
        <v>3362</v>
      </c>
    </row>
    <row r="171" spans="1:9" x14ac:dyDescent="0.3">
      <c r="A171" s="9">
        <v>8</v>
      </c>
      <c r="B171" s="9"/>
      <c r="C171" s="10">
        <v>40087</v>
      </c>
      <c r="D171" s="10">
        <v>40118</v>
      </c>
      <c r="E171" s="11">
        <v>48781</v>
      </c>
      <c r="F171" s="12"/>
      <c r="G171" s="12">
        <f t="shared" si="10"/>
        <v>4063</v>
      </c>
      <c r="H171" s="12">
        <f t="shared" si="13"/>
        <v>541</v>
      </c>
      <c r="I171" s="12">
        <f t="shared" si="11"/>
        <v>3522</v>
      </c>
    </row>
    <row r="172" spans="1:9" x14ac:dyDescent="0.3">
      <c r="A172" s="9">
        <v>9</v>
      </c>
      <c r="B172" s="9"/>
      <c r="C172" s="10">
        <v>40118</v>
      </c>
      <c r="D172" s="10">
        <v>40148</v>
      </c>
      <c r="E172" s="11">
        <f t="shared" si="12"/>
        <v>48781</v>
      </c>
      <c r="F172" s="12"/>
      <c r="G172" s="12">
        <f t="shared" si="10"/>
        <v>4063</v>
      </c>
      <c r="H172" s="12">
        <f t="shared" si="13"/>
        <v>541</v>
      </c>
      <c r="I172" s="12">
        <f t="shared" si="11"/>
        <v>3522</v>
      </c>
    </row>
    <row r="173" spans="1:9" x14ac:dyDescent="0.3">
      <c r="A173" s="9">
        <v>10</v>
      </c>
      <c r="B173" s="9"/>
      <c r="C173" s="10">
        <v>40148</v>
      </c>
      <c r="D173" s="10">
        <v>40179</v>
      </c>
      <c r="E173" s="11">
        <v>54544</v>
      </c>
      <c r="F173" s="12"/>
      <c r="G173" s="12">
        <f t="shared" si="10"/>
        <v>4544</v>
      </c>
      <c r="H173" s="12">
        <f t="shared" si="13"/>
        <v>541</v>
      </c>
      <c r="I173" s="12">
        <f t="shared" si="11"/>
        <v>4003</v>
      </c>
    </row>
    <row r="174" spans="1:9" x14ac:dyDescent="0.3">
      <c r="A174" s="9">
        <v>11</v>
      </c>
      <c r="B174" s="9"/>
      <c r="C174" s="10">
        <v>40179</v>
      </c>
      <c r="D174" s="10">
        <v>40210</v>
      </c>
      <c r="E174" s="11">
        <v>48781</v>
      </c>
      <c r="F174" s="12"/>
      <c r="G174" s="12">
        <f t="shared" si="10"/>
        <v>4063</v>
      </c>
      <c r="H174" s="12">
        <f t="shared" si="13"/>
        <v>541</v>
      </c>
      <c r="I174" s="12">
        <f t="shared" si="11"/>
        <v>3522</v>
      </c>
    </row>
    <row r="175" spans="1:9" x14ac:dyDescent="0.3">
      <c r="A175" s="9">
        <v>12</v>
      </c>
      <c r="B175" s="17" t="s">
        <v>91</v>
      </c>
      <c r="C175" s="10">
        <v>40210</v>
      </c>
      <c r="D175" s="10">
        <v>40238</v>
      </c>
      <c r="E175" s="11">
        <f t="shared" si="12"/>
        <v>48781</v>
      </c>
      <c r="F175" s="12">
        <f>SUM(E164:E175)</f>
        <v>844245</v>
      </c>
      <c r="G175" s="12">
        <f t="shared" si="10"/>
        <v>4063</v>
      </c>
      <c r="H175" s="12">
        <f t="shared" si="13"/>
        <v>541</v>
      </c>
      <c r="I175" s="12">
        <f t="shared" si="11"/>
        <v>3522</v>
      </c>
    </row>
    <row r="176" spans="1:9" x14ac:dyDescent="0.3">
      <c r="A176" s="9">
        <v>1</v>
      </c>
      <c r="B176" s="9"/>
      <c r="C176" s="10">
        <v>40238</v>
      </c>
      <c r="D176" s="10">
        <v>40269</v>
      </c>
      <c r="E176" s="11">
        <f t="shared" si="12"/>
        <v>48781</v>
      </c>
      <c r="F176" s="12"/>
      <c r="G176" s="12">
        <f t="shared" si="10"/>
        <v>4063</v>
      </c>
      <c r="H176" s="12">
        <f t="shared" si="13"/>
        <v>541</v>
      </c>
      <c r="I176" s="12">
        <f t="shared" si="11"/>
        <v>3522</v>
      </c>
    </row>
    <row r="177" spans="1:9" x14ac:dyDescent="0.3">
      <c r="A177" s="9">
        <v>2</v>
      </c>
      <c r="B177" s="9"/>
      <c r="C177" s="10">
        <v>40269</v>
      </c>
      <c r="D177" s="10">
        <v>40299</v>
      </c>
      <c r="E177" s="11">
        <v>61073</v>
      </c>
      <c r="F177" s="12"/>
      <c r="G177" s="12">
        <f t="shared" si="10"/>
        <v>5087</v>
      </c>
      <c r="H177" s="12">
        <f t="shared" si="13"/>
        <v>541</v>
      </c>
      <c r="I177" s="12">
        <f t="shared" si="11"/>
        <v>4546</v>
      </c>
    </row>
    <row r="178" spans="1:9" x14ac:dyDescent="0.3">
      <c r="A178" s="9">
        <v>3</v>
      </c>
      <c r="B178" s="9"/>
      <c r="C178" s="10">
        <v>40299</v>
      </c>
      <c r="D178" s="10">
        <v>40330</v>
      </c>
      <c r="E178" s="11">
        <v>51854</v>
      </c>
      <c r="F178" s="12"/>
      <c r="G178" s="12">
        <f t="shared" si="10"/>
        <v>4319</v>
      </c>
      <c r="H178" s="12">
        <f t="shared" si="13"/>
        <v>541</v>
      </c>
      <c r="I178" s="12">
        <f t="shared" si="11"/>
        <v>3778</v>
      </c>
    </row>
    <row r="179" spans="1:9" x14ac:dyDescent="0.3">
      <c r="A179" s="9">
        <v>4</v>
      </c>
      <c r="B179" s="9"/>
      <c r="C179" s="10">
        <v>40330</v>
      </c>
      <c r="D179" s="10">
        <v>40360</v>
      </c>
      <c r="E179" s="11">
        <f t="shared" si="12"/>
        <v>51854</v>
      </c>
      <c r="F179" s="12"/>
      <c r="G179" s="12">
        <f t="shared" si="10"/>
        <v>4319</v>
      </c>
      <c r="H179" s="12">
        <f t="shared" si="13"/>
        <v>541</v>
      </c>
      <c r="I179" s="12">
        <f t="shared" si="11"/>
        <v>3778</v>
      </c>
    </row>
    <row r="180" spans="1:9" x14ac:dyDescent="0.3">
      <c r="A180" s="9">
        <v>5</v>
      </c>
      <c r="B180" s="9"/>
      <c r="C180" s="10">
        <v>40360</v>
      </c>
      <c r="D180" s="10">
        <v>40391</v>
      </c>
      <c r="E180" s="11">
        <v>53420</v>
      </c>
      <c r="F180" s="12"/>
      <c r="G180" s="12">
        <f t="shared" si="10"/>
        <v>4450</v>
      </c>
      <c r="H180" s="12">
        <f t="shared" si="13"/>
        <v>541</v>
      </c>
      <c r="I180" s="12">
        <f t="shared" si="11"/>
        <v>3909</v>
      </c>
    </row>
    <row r="181" spans="1:9" x14ac:dyDescent="0.3">
      <c r="A181" s="9">
        <v>6</v>
      </c>
      <c r="B181" s="9"/>
      <c r="C181" s="10">
        <v>40391</v>
      </c>
      <c r="D181" s="10">
        <v>40422</v>
      </c>
      <c r="E181" s="11">
        <f t="shared" si="12"/>
        <v>53420</v>
      </c>
      <c r="F181" s="12"/>
      <c r="G181" s="12">
        <f t="shared" si="10"/>
        <v>4450</v>
      </c>
      <c r="H181" s="12">
        <f t="shared" si="13"/>
        <v>541</v>
      </c>
      <c r="I181" s="12">
        <f t="shared" si="11"/>
        <v>3909</v>
      </c>
    </row>
    <row r="182" spans="1:9" x14ac:dyDescent="0.3">
      <c r="A182" s="9">
        <v>7</v>
      </c>
      <c r="B182" s="9"/>
      <c r="C182" s="10">
        <v>40422</v>
      </c>
      <c r="D182" s="10">
        <v>40452</v>
      </c>
      <c r="E182" s="11">
        <v>66845</v>
      </c>
      <c r="F182" s="12"/>
      <c r="G182" s="12">
        <f t="shared" si="10"/>
        <v>5568</v>
      </c>
      <c r="H182" s="12">
        <f t="shared" si="13"/>
        <v>541</v>
      </c>
      <c r="I182" s="12">
        <f t="shared" si="11"/>
        <v>5027</v>
      </c>
    </row>
    <row r="183" spans="1:9" x14ac:dyDescent="0.3">
      <c r="A183" s="9">
        <v>8</v>
      </c>
      <c r="B183" s="9"/>
      <c r="C183" s="10">
        <v>40452</v>
      </c>
      <c r="D183" s="10">
        <v>40483</v>
      </c>
      <c r="E183" s="11">
        <v>74759</v>
      </c>
      <c r="F183" s="12"/>
      <c r="G183" s="12">
        <f t="shared" si="10"/>
        <v>6227</v>
      </c>
      <c r="H183" s="12">
        <f t="shared" si="13"/>
        <v>541</v>
      </c>
      <c r="I183" s="12">
        <f t="shared" si="11"/>
        <v>5686</v>
      </c>
    </row>
    <row r="184" spans="1:9" x14ac:dyDescent="0.3">
      <c r="A184" s="9">
        <v>9</v>
      </c>
      <c r="B184" s="9"/>
      <c r="C184" s="10">
        <v>40483</v>
      </c>
      <c r="D184" s="10">
        <v>40513</v>
      </c>
      <c r="E184" s="11">
        <v>66845</v>
      </c>
      <c r="F184" s="12"/>
      <c r="G184" s="12">
        <f t="shared" si="10"/>
        <v>5568</v>
      </c>
      <c r="H184" s="12">
        <f t="shared" si="13"/>
        <v>541</v>
      </c>
      <c r="I184" s="12">
        <f t="shared" si="11"/>
        <v>5027</v>
      </c>
    </row>
    <row r="185" spans="1:9" x14ac:dyDescent="0.3">
      <c r="A185" s="9">
        <v>10</v>
      </c>
      <c r="B185" s="9"/>
      <c r="C185" s="10">
        <v>40513</v>
      </c>
      <c r="D185" s="10">
        <v>40544</v>
      </c>
      <c r="E185" s="11">
        <f t="shared" si="12"/>
        <v>66845</v>
      </c>
      <c r="F185" s="12"/>
      <c r="G185" s="12">
        <f t="shared" si="10"/>
        <v>5568</v>
      </c>
      <c r="H185" s="12">
        <f t="shared" si="13"/>
        <v>541</v>
      </c>
      <c r="I185" s="12">
        <f t="shared" si="11"/>
        <v>5027</v>
      </c>
    </row>
    <row r="186" spans="1:9" x14ac:dyDescent="0.3">
      <c r="A186" s="9">
        <v>11</v>
      </c>
      <c r="B186" s="9"/>
      <c r="C186" s="10">
        <v>40544</v>
      </c>
      <c r="D186" s="10">
        <v>40575</v>
      </c>
      <c r="E186" s="11">
        <f t="shared" si="12"/>
        <v>66845</v>
      </c>
      <c r="F186" s="12"/>
      <c r="G186" s="12">
        <f t="shared" si="10"/>
        <v>5568</v>
      </c>
      <c r="H186" s="12">
        <f t="shared" si="13"/>
        <v>541</v>
      </c>
      <c r="I186" s="12">
        <f t="shared" si="11"/>
        <v>5027</v>
      </c>
    </row>
    <row r="187" spans="1:9" x14ac:dyDescent="0.3">
      <c r="A187" s="9">
        <v>12</v>
      </c>
      <c r="B187" s="17" t="s">
        <v>92</v>
      </c>
      <c r="C187" s="10">
        <v>40575</v>
      </c>
      <c r="D187" s="10">
        <v>40603</v>
      </c>
      <c r="E187" s="11">
        <f t="shared" si="12"/>
        <v>66845</v>
      </c>
      <c r="F187" s="12">
        <f>SUM(E176:E187)</f>
        <v>729386</v>
      </c>
      <c r="G187" s="12">
        <f t="shared" si="10"/>
        <v>5568</v>
      </c>
      <c r="H187" s="12">
        <f t="shared" si="13"/>
        <v>541</v>
      </c>
      <c r="I187" s="12">
        <f t="shared" si="11"/>
        <v>5027</v>
      </c>
    </row>
    <row r="188" spans="1:9" x14ac:dyDescent="0.3">
      <c r="A188" s="9">
        <v>1</v>
      </c>
      <c r="B188" s="9"/>
      <c r="C188" s="10">
        <v>40603</v>
      </c>
      <c r="D188" s="10">
        <v>40634</v>
      </c>
      <c r="E188" s="11">
        <v>69611</v>
      </c>
      <c r="F188" s="12"/>
      <c r="G188" s="12">
        <f t="shared" si="10"/>
        <v>5799</v>
      </c>
      <c r="H188" s="12">
        <f t="shared" si="13"/>
        <v>541</v>
      </c>
      <c r="I188" s="12">
        <f t="shared" si="11"/>
        <v>5258</v>
      </c>
    </row>
    <row r="189" spans="1:9" x14ac:dyDescent="0.3">
      <c r="A189" s="9">
        <v>2</v>
      </c>
      <c r="B189" s="9"/>
      <c r="C189" s="10">
        <v>40634</v>
      </c>
      <c r="D189" s="10">
        <v>40664</v>
      </c>
      <c r="E189" s="11">
        <v>75143</v>
      </c>
      <c r="F189" s="12"/>
      <c r="G189" s="12">
        <f t="shared" si="10"/>
        <v>6259</v>
      </c>
      <c r="H189" s="12">
        <f t="shared" si="13"/>
        <v>541</v>
      </c>
      <c r="I189" s="12">
        <f t="shared" si="11"/>
        <v>5718</v>
      </c>
    </row>
    <row r="190" spans="1:9" x14ac:dyDescent="0.3">
      <c r="A190" s="9">
        <v>3</v>
      </c>
      <c r="B190" s="9"/>
      <c r="C190" s="10">
        <v>40664</v>
      </c>
      <c r="D190" s="10">
        <v>40695</v>
      </c>
      <c r="E190" s="11">
        <v>69611</v>
      </c>
      <c r="F190" s="12"/>
      <c r="G190" s="12">
        <f t="shared" si="10"/>
        <v>5799</v>
      </c>
      <c r="H190" s="12">
        <f t="shared" si="13"/>
        <v>541</v>
      </c>
      <c r="I190" s="12">
        <f t="shared" si="11"/>
        <v>5258</v>
      </c>
    </row>
    <row r="191" spans="1:9" x14ac:dyDescent="0.3">
      <c r="A191" s="9">
        <v>4</v>
      </c>
      <c r="B191" s="9"/>
      <c r="C191" s="10">
        <v>40695</v>
      </c>
      <c r="D191" s="10">
        <v>40725</v>
      </c>
      <c r="E191" s="11">
        <v>69611</v>
      </c>
      <c r="F191" s="12"/>
      <c r="G191" s="12">
        <f t="shared" si="10"/>
        <v>5799</v>
      </c>
      <c r="H191" s="12">
        <f t="shared" si="13"/>
        <v>541</v>
      </c>
      <c r="I191" s="12">
        <f t="shared" si="11"/>
        <v>5258</v>
      </c>
    </row>
    <row r="192" spans="1:9" x14ac:dyDescent="0.3">
      <c r="A192" s="9">
        <v>5</v>
      </c>
      <c r="B192" s="9"/>
      <c r="C192" s="10">
        <v>40725</v>
      </c>
      <c r="D192" s="10">
        <v>40756</v>
      </c>
      <c r="E192" s="11">
        <v>71710</v>
      </c>
      <c r="F192" s="12"/>
      <c r="G192" s="12">
        <f t="shared" si="10"/>
        <v>5973</v>
      </c>
      <c r="H192" s="12">
        <f t="shared" si="13"/>
        <v>541</v>
      </c>
      <c r="I192" s="12">
        <f t="shared" si="11"/>
        <v>5432</v>
      </c>
    </row>
    <row r="193" spans="1:9" x14ac:dyDescent="0.3">
      <c r="A193" s="9">
        <v>6</v>
      </c>
      <c r="B193" s="9"/>
      <c r="C193" s="10">
        <v>40756</v>
      </c>
      <c r="D193" s="10">
        <v>40787</v>
      </c>
      <c r="E193" s="11">
        <f t="shared" si="12"/>
        <v>71710</v>
      </c>
      <c r="F193" s="12"/>
      <c r="G193" s="12">
        <f t="shared" si="10"/>
        <v>5973</v>
      </c>
      <c r="H193" s="12">
        <f t="shared" si="13"/>
        <v>541</v>
      </c>
      <c r="I193" s="12">
        <f t="shared" si="11"/>
        <v>5432</v>
      </c>
    </row>
    <row r="194" spans="1:9" x14ac:dyDescent="0.3">
      <c r="A194" s="9">
        <v>7</v>
      </c>
      <c r="B194" s="9"/>
      <c r="C194" s="10">
        <v>40787</v>
      </c>
      <c r="D194" s="10">
        <v>40817</v>
      </c>
      <c r="E194" s="11">
        <f t="shared" si="12"/>
        <v>71710</v>
      </c>
      <c r="F194" s="12"/>
      <c r="G194" s="12">
        <f t="shared" si="10"/>
        <v>5973</v>
      </c>
      <c r="H194" s="12">
        <f t="shared" si="13"/>
        <v>541</v>
      </c>
      <c r="I194" s="12">
        <f t="shared" si="11"/>
        <v>5432</v>
      </c>
    </row>
    <row r="195" spans="1:9" x14ac:dyDescent="0.3">
      <c r="A195" s="9">
        <v>8</v>
      </c>
      <c r="B195" s="9"/>
      <c r="C195" s="10">
        <v>40817</v>
      </c>
      <c r="D195" s="10">
        <v>40848</v>
      </c>
      <c r="E195" s="11">
        <v>75034</v>
      </c>
      <c r="F195" s="12"/>
      <c r="G195" s="12">
        <f t="shared" si="10"/>
        <v>6250</v>
      </c>
      <c r="H195" s="12">
        <f t="shared" si="13"/>
        <v>541</v>
      </c>
      <c r="I195" s="12">
        <f t="shared" si="11"/>
        <v>5709</v>
      </c>
    </row>
    <row r="196" spans="1:9" x14ac:dyDescent="0.3">
      <c r="A196" s="9">
        <v>9</v>
      </c>
      <c r="B196" s="9"/>
      <c r="C196" s="10">
        <v>40848</v>
      </c>
      <c r="D196" s="10">
        <v>40878</v>
      </c>
      <c r="E196" s="11">
        <f t="shared" si="12"/>
        <v>75034</v>
      </c>
      <c r="F196" s="12"/>
      <c r="G196" s="12">
        <f t="shared" ref="G196:G259" si="14">ROUND(E196*8.33%,0)</f>
        <v>6250</v>
      </c>
      <c r="H196" s="12">
        <f t="shared" si="13"/>
        <v>541</v>
      </c>
      <c r="I196" s="12">
        <f t="shared" si="11"/>
        <v>5709</v>
      </c>
    </row>
    <row r="197" spans="1:9" x14ac:dyDescent="0.3">
      <c r="A197" s="9">
        <v>10</v>
      </c>
      <c r="B197" s="9"/>
      <c r="C197" s="10">
        <v>40878</v>
      </c>
      <c r="D197" s="10">
        <v>40909</v>
      </c>
      <c r="E197" s="11">
        <v>85006</v>
      </c>
      <c r="F197" s="12"/>
      <c r="G197" s="12">
        <f t="shared" si="14"/>
        <v>7081</v>
      </c>
      <c r="H197" s="12">
        <f t="shared" si="13"/>
        <v>541</v>
      </c>
      <c r="I197" s="12">
        <f t="shared" ref="I197:I260" si="15">MAX(G197-H197,0)</f>
        <v>6540</v>
      </c>
    </row>
    <row r="198" spans="1:9" x14ac:dyDescent="0.3">
      <c r="A198" s="9">
        <v>11</v>
      </c>
      <c r="B198" s="9"/>
      <c r="C198" s="10">
        <v>40909</v>
      </c>
      <c r="D198" s="10">
        <v>40940</v>
      </c>
      <c r="E198" s="11">
        <v>75034</v>
      </c>
      <c r="F198" s="12"/>
      <c r="G198" s="12">
        <f t="shared" si="14"/>
        <v>6250</v>
      </c>
      <c r="H198" s="12">
        <f t="shared" si="13"/>
        <v>541</v>
      </c>
      <c r="I198" s="12">
        <f t="shared" si="15"/>
        <v>5709</v>
      </c>
    </row>
    <row r="199" spans="1:9" x14ac:dyDescent="0.3">
      <c r="A199" s="9">
        <v>12</v>
      </c>
      <c r="B199" s="17" t="s">
        <v>93</v>
      </c>
      <c r="C199" s="10">
        <v>40940</v>
      </c>
      <c r="D199" s="10">
        <v>40969</v>
      </c>
      <c r="E199" s="11">
        <f t="shared" ref="E199:E260" si="16">E198</f>
        <v>75034</v>
      </c>
      <c r="F199" s="12">
        <f>SUM(E188:E199)</f>
        <v>884248</v>
      </c>
      <c r="G199" s="12">
        <f t="shared" si="14"/>
        <v>6250</v>
      </c>
      <c r="H199" s="12">
        <f t="shared" ref="H199:H229" si="17">IF(E199=0,0,541)</f>
        <v>541</v>
      </c>
      <c r="I199" s="12">
        <f t="shared" si="15"/>
        <v>5709</v>
      </c>
    </row>
    <row r="200" spans="1:9" x14ac:dyDescent="0.3">
      <c r="A200" s="9">
        <v>1</v>
      </c>
      <c r="B200" s="9"/>
      <c r="C200" s="10">
        <v>40969</v>
      </c>
      <c r="D200" s="10">
        <v>41000</v>
      </c>
      <c r="E200" s="11">
        <f t="shared" si="16"/>
        <v>75034</v>
      </c>
      <c r="F200" s="12"/>
      <c r="G200" s="12">
        <f t="shared" si="14"/>
        <v>6250</v>
      </c>
      <c r="H200" s="12">
        <f t="shared" si="17"/>
        <v>541</v>
      </c>
      <c r="I200" s="12">
        <f t="shared" si="15"/>
        <v>5709</v>
      </c>
    </row>
    <row r="201" spans="1:9" x14ac:dyDescent="0.3">
      <c r="A201" s="9">
        <v>2</v>
      </c>
      <c r="B201" s="9"/>
      <c r="C201" s="10">
        <v>41000</v>
      </c>
      <c r="D201" s="10">
        <v>41030</v>
      </c>
      <c r="E201" s="11">
        <v>78359</v>
      </c>
      <c r="F201" s="12"/>
      <c r="G201" s="12">
        <f t="shared" si="14"/>
        <v>6527</v>
      </c>
      <c r="H201" s="12">
        <f t="shared" si="17"/>
        <v>541</v>
      </c>
      <c r="I201" s="12">
        <f t="shared" si="15"/>
        <v>5986</v>
      </c>
    </row>
    <row r="202" spans="1:9" x14ac:dyDescent="0.3">
      <c r="A202" s="9">
        <v>3</v>
      </c>
      <c r="B202" s="9"/>
      <c r="C202" s="10">
        <v>41030</v>
      </c>
      <c r="D202" s="10">
        <v>41061</v>
      </c>
      <c r="E202" s="11">
        <f t="shared" si="16"/>
        <v>78359</v>
      </c>
      <c r="F202" s="12"/>
      <c r="G202" s="12">
        <f t="shared" si="14"/>
        <v>6527</v>
      </c>
      <c r="H202" s="12">
        <f t="shared" si="17"/>
        <v>541</v>
      </c>
      <c r="I202" s="12">
        <f t="shared" si="15"/>
        <v>5986</v>
      </c>
    </row>
    <row r="203" spans="1:9" x14ac:dyDescent="0.3">
      <c r="A203" s="9">
        <v>4</v>
      </c>
      <c r="B203" s="9"/>
      <c r="C203" s="10">
        <v>41061</v>
      </c>
      <c r="D203" s="10">
        <v>41091</v>
      </c>
      <c r="E203" s="11">
        <v>88334</v>
      </c>
      <c r="F203" s="12"/>
      <c r="G203" s="12">
        <f t="shared" si="14"/>
        <v>7358</v>
      </c>
      <c r="H203" s="12">
        <f t="shared" si="17"/>
        <v>541</v>
      </c>
      <c r="I203" s="12">
        <f t="shared" si="15"/>
        <v>6817</v>
      </c>
    </row>
    <row r="204" spans="1:9" x14ac:dyDescent="0.3">
      <c r="A204" s="9">
        <v>5</v>
      </c>
      <c r="B204" s="9"/>
      <c r="C204" s="10">
        <v>41091</v>
      </c>
      <c r="D204" s="10">
        <v>41122</v>
      </c>
      <c r="E204" s="11">
        <v>80718</v>
      </c>
      <c r="F204" s="12"/>
      <c r="G204" s="12">
        <f t="shared" si="14"/>
        <v>6724</v>
      </c>
      <c r="H204" s="12">
        <f t="shared" si="17"/>
        <v>541</v>
      </c>
      <c r="I204" s="12">
        <f t="shared" si="15"/>
        <v>6183</v>
      </c>
    </row>
    <row r="205" spans="1:9" x14ac:dyDescent="0.3">
      <c r="A205" s="9">
        <v>6</v>
      </c>
      <c r="B205" s="9"/>
      <c r="C205" s="10">
        <v>41122</v>
      </c>
      <c r="D205" s="10">
        <v>41153</v>
      </c>
      <c r="E205" s="11">
        <f t="shared" si="16"/>
        <v>80718</v>
      </c>
      <c r="F205" s="12"/>
      <c r="G205" s="12">
        <f t="shared" si="14"/>
        <v>6724</v>
      </c>
      <c r="H205" s="12">
        <f t="shared" si="17"/>
        <v>541</v>
      </c>
      <c r="I205" s="12">
        <f t="shared" si="15"/>
        <v>6183</v>
      </c>
    </row>
    <row r="206" spans="1:9" x14ac:dyDescent="0.3">
      <c r="A206" s="9">
        <v>7</v>
      </c>
      <c r="B206" s="9"/>
      <c r="C206" s="10">
        <v>41153</v>
      </c>
      <c r="D206" s="10">
        <v>41183</v>
      </c>
      <c r="E206" s="11">
        <f t="shared" si="16"/>
        <v>80718</v>
      </c>
      <c r="F206" s="12"/>
      <c r="G206" s="12">
        <f t="shared" si="14"/>
        <v>6724</v>
      </c>
      <c r="H206" s="12">
        <f t="shared" si="17"/>
        <v>541</v>
      </c>
      <c r="I206" s="12">
        <f t="shared" si="15"/>
        <v>6183</v>
      </c>
    </row>
    <row r="207" spans="1:9" x14ac:dyDescent="0.3">
      <c r="A207" s="9">
        <v>8</v>
      </c>
      <c r="B207" s="9"/>
      <c r="C207" s="10">
        <v>41183</v>
      </c>
      <c r="D207" s="10">
        <v>41214</v>
      </c>
      <c r="E207" s="11">
        <v>84142</v>
      </c>
      <c r="F207" s="12"/>
      <c r="G207" s="12">
        <f t="shared" si="14"/>
        <v>7009</v>
      </c>
      <c r="H207" s="12">
        <f t="shared" si="17"/>
        <v>541</v>
      </c>
      <c r="I207" s="12">
        <f t="shared" si="15"/>
        <v>6468</v>
      </c>
    </row>
    <row r="208" spans="1:9" x14ac:dyDescent="0.3">
      <c r="A208" s="9">
        <v>9</v>
      </c>
      <c r="B208" s="9"/>
      <c r="C208" s="10">
        <v>41214</v>
      </c>
      <c r="D208" s="10">
        <v>41244</v>
      </c>
      <c r="E208" s="11">
        <v>94414</v>
      </c>
      <c r="F208" s="12"/>
      <c r="G208" s="12">
        <f t="shared" si="14"/>
        <v>7865</v>
      </c>
      <c r="H208" s="12">
        <f t="shared" si="17"/>
        <v>541</v>
      </c>
      <c r="I208" s="12">
        <f t="shared" si="15"/>
        <v>7324</v>
      </c>
    </row>
    <row r="209" spans="1:9" x14ac:dyDescent="0.3">
      <c r="A209" s="9">
        <v>10</v>
      </c>
      <c r="B209" s="9"/>
      <c r="C209" s="10">
        <v>41244</v>
      </c>
      <c r="D209" s="10">
        <v>41275</v>
      </c>
      <c r="E209" s="11">
        <v>84142</v>
      </c>
      <c r="F209" s="12"/>
      <c r="G209" s="12">
        <f t="shared" si="14"/>
        <v>7009</v>
      </c>
      <c r="H209" s="12">
        <f t="shared" si="17"/>
        <v>541</v>
      </c>
      <c r="I209" s="12">
        <f t="shared" si="15"/>
        <v>6468</v>
      </c>
    </row>
    <row r="210" spans="1:9" x14ac:dyDescent="0.3">
      <c r="A210" s="9">
        <v>11</v>
      </c>
      <c r="B210" s="9"/>
      <c r="C210" s="10">
        <v>41275</v>
      </c>
      <c r="D210" s="10">
        <v>41306</v>
      </c>
      <c r="E210" s="11">
        <f t="shared" si="16"/>
        <v>84142</v>
      </c>
      <c r="F210" s="12"/>
      <c r="G210" s="12">
        <f t="shared" si="14"/>
        <v>7009</v>
      </c>
      <c r="H210" s="12">
        <f t="shared" si="17"/>
        <v>541</v>
      </c>
      <c r="I210" s="12">
        <f t="shared" si="15"/>
        <v>6468</v>
      </c>
    </row>
    <row r="211" spans="1:9" x14ac:dyDescent="0.3">
      <c r="A211" s="9">
        <v>12</v>
      </c>
      <c r="B211" s="17" t="s">
        <v>94</v>
      </c>
      <c r="C211" s="10">
        <v>41306</v>
      </c>
      <c r="D211" s="10">
        <v>41334</v>
      </c>
      <c r="E211" s="11">
        <f t="shared" si="16"/>
        <v>84142</v>
      </c>
      <c r="F211" s="12">
        <f>SUM(E200:E211)</f>
        <v>993222</v>
      </c>
      <c r="G211" s="12">
        <f t="shared" si="14"/>
        <v>7009</v>
      </c>
      <c r="H211" s="12">
        <f t="shared" si="17"/>
        <v>541</v>
      </c>
      <c r="I211" s="12">
        <f t="shared" si="15"/>
        <v>6468</v>
      </c>
    </row>
    <row r="212" spans="1:9" x14ac:dyDescent="0.3">
      <c r="A212" s="9">
        <v>1</v>
      </c>
      <c r="B212" s="9"/>
      <c r="C212" s="10">
        <v>41334</v>
      </c>
      <c r="D212" s="10">
        <v>41365</v>
      </c>
      <c r="E212" s="11">
        <f t="shared" si="16"/>
        <v>84142</v>
      </c>
      <c r="F212" s="12"/>
      <c r="G212" s="12">
        <f t="shared" si="14"/>
        <v>7009</v>
      </c>
      <c r="H212" s="12">
        <f t="shared" si="17"/>
        <v>541</v>
      </c>
      <c r="I212" s="12">
        <f t="shared" si="15"/>
        <v>6468</v>
      </c>
    </row>
    <row r="213" spans="1:9" x14ac:dyDescent="0.3">
      <c r="A213" s="9">
        <v>2</v>
      </c>
      <c r="B213" s="9"/>
      <c r="C213" s="10">
        <v>41365</v>
      </c>
      <c r="D213" s="10">
        <v>41395</v>
      </c>
      <c r="E213" s="11">
        <f t="shared" si="16"/>
        <v>84142</v>
      </c>
      <c r="F213" s="12"/>
      <c r="G213" s="12">
        <f t="shared" si="14"/>
        <v>7009</v>
      </c>
      <c r="H213" s="12">
        <f t="shared" si="17"/>
        <v>541</v>
      </c>
      <c r="I213" s="12">
        <f t="shared" si="15"/>
        <v>6468</v>
      </c>
    </row>
    <row r="214" spans="1:9" x14ac:dyDescent="0.3">
      <c r="A214" s="9">
        <v>3</v>
      </c>
      <c r="B214" s="9"/>
      <c r="C214" s="10">
        <v>41395</v>
      </c>
      <c r="D214" s="10">
        <v>41426</v>
      </c>
      <c r="E214" s="11">
        <v>103712</v>
      </c>
      <c r="F214" s="12"/>
      <c r="G214" s="12">
        <f t="shared" si="14"/>
        <v>8639</v>
      </c>
      <c r="H214" s="12">
        <f t="shared" si="17"/>
        <v>541</v>
      </c>
      <c r="I214" s="12">
        <f t="shared" si="15"/>
        <v>8098</v>
      </c>
    </row>
    <row r="215" spans="1:9" x14ac:dyDescent="0.3">
      <c r="A215" s="9">
        <v>4</v>
      </c>
      <c r="B215" s="9"/>
      <c r="C215" s="10">
        <v>41426</v>
      </c>
      <c r="D215" s="10">
        <v>41456</v>
      </c>
      <c r="E215" s="11">
        <v>88056</v>
      </c>
      <c r="F215" s="12"/>
      <c r="G215" s="12">
        <f t="shared" si="14"/>
        <v>7335</v>
      </c>
      <c r="H215" s="12">
        <f t="shared" si="17"/>
        <v>541</v>
      </c>
      <c r="I215" s="12">
        <f t="shared" si="15"/>
        <v>6794</v>
      </c>
    </row>
    <row r="216" spans="1:9" x14ac:dyDescent="0.3">
      <c r="A216" s="9">
        <v>5</v>
      </c>
      <c r="B216" s="9"/>
      <c r="C216" s="10">
        <v>41456</v>
      </c>
      <c r="D216" s="10">
        <v>41487</v>
      </c>
      <c r="E216" s="11">
        <v>90702</v>
      </c>
      <c r="F216" s="12"/>
      <c r="G216" s="12">
        <f t="shared" si="14"/>
        <v>7555</v>
      </c>
      <c r="H216" s="12">
        <f t="shared" si="17"/>
        <v>541</v>
      </c>
      <c r="I216" s="12">
        <f t="shared" si="15"/>
        <v>7014</v>
      </c>
    </row>
    <row r="217" spans="1:9" x14ac:dyDescent="0.3">
      <c r="A217" s="9">
        <v>6</v>
      </c>
      <c r="B217" s="9"/>
      <c r="C217" s="10">
        <v>41487</v>
      </c>
      <c r="D217" s="10">
        <v>41518</v>
      </c>
      <c r="E217" s="11">
        <f t="shared" si="16"/>
        <v>90702</v>
      </c>
      <c r="F217" s="12"/>
      <c r="G217" s="12">
        <f t="shared" si="14"/>
        <v>7555</v>
      </c>
      <c r="H217" s="12">
        <f t="shared" si="17"/>
        <v>541</v>
      </c>
      <c r="I217" s="12">
        <f t="shared" si="15"/>
        <v>7014</v>
      </c>
    </row>
    <row r="218" spans="1:9" x14ac:dyDescent="0.3">
      <c r="A218" s="9">
        <v>7</v>
      </c>
      <c r="B218" s="9"/>
      <c r="C218" s="10">
        <v>41518</v>
      </c>
      <c r="D218" s="10">
        <v>41548</v>
      </c>
      <c r="E218" s="11">
        <v>105819</v>
      </c>
      <c r="F218" s="12"/>
      <c r="G218" s="12">
        <f t="shared" si="14"/>
        <v>8815</v>
      </c>
      <c r="H218" s="12">
        <f t="shared" si="17"/>
        <v>541</v>
      </c>
      <c r="I218" s="12">
        <f t="shared" si="15"/>
        <v>8274</v>
      </c>
    </row>
    <row r="219" spans="1:9" x14ac:dyDescent="0.3">
      <c r="A219" s="9">
        <v>8</v>
      </c>
      <c r="B219" s="9"/>
      <c r="C219" s="10">
        <v>41548</v>
      </c>
      <c r="D219" s="10">
        <v>41579</v>
      </c>
      <c r="E219" s="11">
        <v>95741</v>
      </c>
      <c r="F219" s="12"/>
      <c r="G219" s="12">
        <f t="shared" si="14"/>
        <v>7975</v>
      </c>
      <c r="H219" s="12">
        <f t="shared" si="17"/>
        <v>541</v>
      </c>
      <c r="I219" s="12">
        <f t="shared" si="15"/>
        <v>7434</v>
      </c>
    </row>
    <row r="220" spans="1:9" x14ac:dyDescent="0.3">
      <c r="A220" s="9">
        <v>9</v>
      </c>
      <c r="B220" s="9"/>
      <c r="C220" s="10">
        <v>41579</v>
      </c>
      <c r="D220" s="10">
        <v>41609</v>
      </c>
      <c r="E220" s="11">
        <f t="shared" si="16"/>
        <v>95741</v>
      </c>
      <c r="F220" s="12"/>
      <c r="G220" s="12">
        <f t="shared" si="14"/>
        <v>7975</v>
      </c>
      <c r="H220" s="12">
        <f t="shared" si="17"/>
        <v>541</v>
      </c>
      <c r="I220" s="12">
        <f t="shared" si="15"/>
        <v>7434</v>
      </c>
    </row>
    <row r="221" spans="1:9" x14ac:dyDescent="0.3">
      <c r="A221" s="9">
        <v>10</v>
      </c>
      <c r="B221" s="9"/>
      <c r="C221" s="10">
        <v>41609</v>
      </c>
      <c r="D221" s="10">
        <v>41640</v>
      </c>
      <c r="E221" s="11">
        <f t="shared" si="16"/>
        <v>95741</v>
      </c>
      <c r="F221" s="12"/>
      <c r="G221" s="12">
        <f t="shared" si="14"/>
        <v>7975</v>
      </c>
      <c r="H221" s="12">
        <f t="shared" si="17"/>
        <v>541</v>
      </c>
      <c r="I221" s="12">
        <f t="shared" si="15"/>
        <v>7434</v>
      </c>
    </row>
    <row r="222" spans="1:9" x14ac:dyDescent="0.3">
      <c r="A222" s="9">
        <v>11</v>
      </c>
      <c r="B222" s="9"/>
      <c r="C222" s="10">
        <v>41640</v>
      </c>
      <c r="D222" s="10">
        <v>41671</v>
      </c>
      <c r="E222" s="11">
        <f t="shared" si="16"/>
        <v>95741</v>
      </c>
      <c r="F222" s="12"/>
      <c r="G222" s="12">
        <f t="shared" si="14"/>
        <v>7975</v>
      </c>
      <c r="H222" s="12">
        <f t="shared" si="17"/>
        <v>541</v>
      </c>
      <c r="I222" s="12">
        <f t="shared" si="15"/>
        <v>7434</v>
      </c>
    </row>
    <row r="223" spans="1:9" x14ac:dyDescent="0.3">
      <c r="A223" s="9">
        <v>12</v>
      </c>
      <c r="B223" s="17" t="s">
        <v>95</v>
      </c>
      <c r="C223" s="10">
        <v>41671</v>
      </c>
      <c r="D223" s="10">
        <v>41699</v>
      </c>
      <c r="E223" s="11">
        <f t="shared" si="16"/>
        <v>95741</v>
      </c>
      <c r="F223" s="12">
        <f>SUM(E212:E223)</f>
        <v>1125980</v>
      </c>
      <c r="G223" s="12">
        <f t="shared" si="14"/>
        <v>7975</v>
      </c>
      <c r="H223" s="12">
        <f t="shared" si="17"/>
        <v>541</v>
      </c>
      <c r="I223" s="12">
        <f t="shared" si="15"/>
        <v>7434</v>
      </c>
    </row>
    <row r="224" spans="1:9" x14ac:dyDescent="0.3">
      <c r="A224" s="9">
        <v>1</v>
      </c>
      <c r="B224" s="9"/>
      <c r="C224" s="10">
        <v>41699</v>
      </c>
      <c r="D224" s="10">
        <v>41730</v>
      </c>
      <c r="E224" s="11">
        <f t="shared" si="16"/>
        <v>95741</v>
      </c>
      <c r="F224" s="12"/>
      <c r="G224" s="12">
        <f t="shared" si="14"/>
        <v>7975</v>
      </c>
      <c r="H224" s="12">
        <f t="shared" si="17"/>
        <v>541</v>
      </c>
      <c r="I224" s="12">
        <f t="shared" si="15"/>
        <v>7434</v>
      </c>
    </row>
    <row r="225" spans="1:9" x14ac:dyDescent="0.3">
      <c r="A225" s="9">
        <v>2</v>
      </c>
      <c r="B225" s="9"/>
      <c r="C225" s="10">
        <v>41730</v>
      </c>
      <c r="D225" s="10">
        <v>41760</v>
      </c>
      <c r="E225" s="11">
        <v>115897</v>
      </c>
      <c r="F225" s="12"/>
      <c r="G225" s="12">
        <f t="shared" si="14"/>
        <v>9654</v>
      </c>
      <c r="H225" s="12">
        <f t="shared" si="17"/>
        <v>541</v>
      </c>
      <c r="I225" s="12">
        <f t="shared" si="15"/>
        <v>9113</v>
      </c>
    </row>
    <row r="226" spans="1:9" x14ac:dyDescent="0.3">
      <c r="A226" s="9">
        <v>3</v>
      </c>
      <c r="B226" s="9"/>
      <c r="C226" s="10">
        <v>41760</v>
      </c>
      <c r="D226" s="10">
        <v>41791</v>
      </c>
      <c r="E226" s="11">
        <v>100780</v>
      </c>
      <c r="F226" s="12"/>
      <c r="G226" s="12">
        <f t="shared" si="14"/>
        <v>8395</v>
      </c>
      <c r="H226" s="12">
        <f t="shared" si="17"/>
        <v>541</v>
      </c>
      <c r="I226" s="12">
        <f t="shared" si="15"/>
        <v>7854</v>
      </c>
    </row>
    <row r="227" spans="1:9" x14ac:dyDescent="0.3">
      <c r="A227" s="9">
        <v>4</v>
      </c>
      <c r="B227" s="9"/>
      <c r="C227" s="10">
        <v>41791</v>
      </c>
      <c r="D227" s="10">
        <v>41821</v>
      </c>
      <c r="E227" s="11">
        <f t="shared" si="16"/>
        <v>100780</v>
      </c>
      <c r="F227" s="12"/>
      <c r="G227" s="12">
        <f t="shared" si="14"/>
        <v>8395</v>
      </c>
      <c r="H227" s="12">
        <f t="shared" si="17"/>
        <v>541</v>
      </c>
      <c r="I227" s="12">
        <f t="shared" si="15"/>
        <v>7854</v>
      </c>
    </row>
    <row r="228" spans="1:9" x14ac:dyDescent="0.3">
      <c r="A228" s="9">
        <v>5</v>
      </c>
      <c r="B228" s="9"/>
      <c r="C228" s="10">
        <v>41821</v>
      </c>
      <c r="D228" s="10">
        <v>41852</v>
      </c>
      <c r="E228" s="11">
        <v>103820</v>
      </c>
      <c r="F228" s="12"/>
      <c r="G228" s="12">
        <f t="shared" si="14"/>
        <v>8648</v>
      </c>
      <c r="H228" s="12">
        <f t="shared" si="17"/>
        <v>541</v>
      </c>
      <c r="I228" s="12">
        <f t="shared" si="15"/>
        <v>8107</v>
      </c>
    </row>
    <row r="229" spans="1:9" x14ac:dyDescent="0.3">
      <c r="A229" s="9">
        <v>6</v>
      </c>
      <c r="B229" s="9"/>
      <c r="C229" s="10">
        <v>41852</v>
      </c>
      <c r="D229" s="10">
        <v>41883</v>
      </c>
      <c r="E229" s="11">
        <f t="shared" si="16"/>
        <v>103820</v>
      </c>
      <c r="F229" s="12"/>
      <c r="G229" s="12">
        <f t="shared" si="14"/>
        <v>8648</v>
      </c>
      <c r="H229" s="12">
        <f t="shared" si="17"/>
        <v>541</v>
      </c>
      <c r="I229" s="12">
        <f t="shared" si="15"/>
        <v>8107</v>
      </c>
    </row>
    <row r="230" spans="1:9" x14ac:dyDescent="0.3">
      <c r="A230" s="9">
        <v>7</v>
      </c>
      <c r="B230" s="9"/>
      <c r="C230" s="10">
        <v>41883</v>
      </c>
      <c r="D230" s="10">
        <v>41913</v>
      </c>
      <c r="E230" s="11">
        <v>107454</v>
      </c>
      <c r="F230" s="12"/>
      <c r="G230" s="12">
        <f t="shared" si="14"/>
        <v>8951</v>
      </c>
      <c r="H230" s="12">
        <f t="shared" ref="H230:H293" si="18">IF(E230=0,0,1250)</f>
        <v>1250</v>
      </c>
      <c r="I230" s="12">
        <f t="shared" si="15"/>
        <v>7701</v>
      </c>
    </row>
    <row r="231" spans="1:9" x14ac:dyDescent="0.3">
      <c r="A231" s="9">
        <v>8</v>
      </c>
      <c r="B231" s="9"/>
      <c r="C231" s="10">
        <v>41913</v>
      </c>
      <c r="D231" s="10">
        <v>41944</v>
      </c>
      <c r="E231" s="11">
        <f t="shared" si="16"/>
        <v>107454</v>
      </c>
      <c r="F231" s="12"/>
      <c r="G231" s="12">
        <f t="shared" si="14"/>
        <v>8951</v>
      </c>
      <c r="H231" s="12">
        <f t="shared" si="18"/>
        <v>1250</v>
      </c>
      <c r="I231" s="12">
        <f t="shared" si="15"/>
        <v>7701</v>
      </c>
    </row>
    <row r="232" spans="1:9" x14ac:dyDescent="0.3">
      <c r="A232" s="9">
        <v>9</v>
      </c>
      <c r="B232" s="9"/>
      <c r="C232" s="10">
        <v>41944</v>
      </c>
      <c r="D232" s="10">
        <v>41974</v>
      </c>
      <c r="E232" s="11">
        <v>114722</v>
      </c>
      <c r="F232" s="12"/>
      <c r="G232" s="12">
        <f t="shared" si="14"/>
        <v>9556</v>
      </c>
      <c r="H232" s="12">
        <f t="shared" si="18"/>
        <v>1250</v>
      </c>
      <c r="I232" s="12">
        <f t="shared" si="15"/>
        <v>8306</v>
      </c>
    </row>
    <row r="233" spans="1:9" x14ac:dyDescent="0.3">
      <c r="A233" s="9">
        <v>10</v>
      </c>
      <c r="B233" s="9"/>
      <c r="C233" s="10">
        <v>41974</v>
      </c>
      <c r="D233" s="10">
        <v>42005</v>
      </c>
      <c r="E233" s="11">
        <v>107454</v>
      </c>
      <c r="F233" s="12"/>
      <c r="G233" s="12">
        <f t="shared" si="14"/>
        <v>8951</v>
      </c>
      <c r="H233" s="12">
        <f t="shared" si="18"/>
        <v>1250</v>
      </c>
      <c r="I233" s="12">
        <f t="shared" si="15"/>
        <v>7701</v>
      </c>
    </row>
    <row r="234" spans="1:9" x14ac:dyDescent="0.3">
      <c r="A234" s="9">
        <v>11</v>
      </c>
      <c r="B234" s="9"/>
      <c r="C234" s="10">
        <v>42005</v>
      </c>
      <c r="D234" s="10">
        <v>42036</v>
      </c>
      <c r="E234" s="11">
        <f>46366+62394</f>
        <v>108760</v>
      </c>
      <c r="F234" s="12"/>
      <c r="G234" s="12">
        <f t="shared" si="14"/>
        <v>9060</v>
      </c>
      <c r="H234" s="12">
        <f t="shared" si="18"/>
        <v>1250</v>
      </c>
      <c r="I234" s="12">
        <f t="shared" si="15"/>
        <v>7810</v>
      </c>
    </row>
    <row r="235" spans="1:9" x14ac:dyDescent="0.3">
      <c r="A235" s="9">
        <v>12</v>
      </c>
      <c r="B235" s="17" t="s">
        <v>96</v>
      </c>
      <c r="C235" s="10">
        <v>42036</v>
      </c>
      <c r="D235" s="10">
        <v>42064</v>
      </c>
      <c r="E235" s="11">
        <v>107454</v>
      </c>
      <c r="F235" s="12">
        <f>SUM(E224:E235)</f>
        <v>1274136</v>
      </c>
      <c r="G235" s="12">
        <f t="shared" si="14"/>
        <v>8951</v>
      </c>
      <c r="H235" s="12">
        <f t="shared" si="18"/>
        <v>1250</v>
      </c>
      <c r="I235" s="12">
        <f t="shared" si="15"/>
        <v>7701</v>
      </c>
    </row>
    <row r="236" spans="1:9" x14ac:dyDescent="0.3">
      <c r="A236" s="9">
        <v>1</v>
      </c>
      <c r="B236" s="9"/>
      <c r="C236" s="10">
        <v>42064</v>
      </c>
      <c r="D236" s="10">
        <v>42095</v>
      </c>
      <c r="E236" s="11">
        <f t="shared" si="16"/>
        <v>107454</v>
      </c>
      <c r="F236" s="12"/>
      <c r="G236" s="12">
        <f t="shared" si="14"/>
        <v>8951</v>
      </c>
      <c r="H236" s="12">
        <f t="shared" si="18"/>
        <v>1250</v>
      </c>
      <c r="I236" s="12">
        <f t="shared" si="15"/>
        <v>7701</v>
      </c>
    </row>
    <row r="237" spans="1:9" x14ac:dyDescent="0.3">
      <c r="A237" s="9">
        <v>2</v>
      </c>
      <c r="B237" s="9"/>
      <c r="C237" s="10">
        <v>42095</v>
      </c>
      <c r="D237" s="10">
        <v>42125</v>
      </c>
      <c r="E237" s="11">
        <v>110568</v>
      </c>
      <c r="F237" s="12"/>
      <c r="G237" s="12">
        <f t="shared" si="14"/>
        <v>9210</v>
      </c>
      <c r="H237" s="12">
        <f t="shared" si="18"/>
        <v>1250</v>
      </c>
      <c r="I237" s="12">
        <f t="shared" si="15"/>
        <v>7960</v>
      </c>
    </row>
    <row r="238" spans="1:9" x14ac:dyDescent="0.3">
      <c r="A238" s="9">
        <v>3</v>
      </c>
      <c r="B238" s="9"/>
      <c r="C238" s="10">
        <v>42125</v>
      </c>
      <c r="D238" s="10">
        <v>42156</v>
      </c>
      <c r="E238" s="11">
        <f t="shared" si="16"/>
        <v>110568</v>
      </c>
      <c r="F238" s="12"/>
      <c r="G238" s="12">
        <f t="shared" si="14"/>
        <v>9210</v>
      </c>
      <c r="H238" s="12">
        <f t="shared" si="18"/>
        <v>1250</v>
      </c>
      <c r="I238" s="12">
        <f t="shared" si="15"/>
        <v>7960</v>
      </c>
    </row>
    <row r="239" spans="1:9" x14ac:dyDescent="0.3">
      <c r="A239" s="9">
        <v>4</v>
      </c>
      <c r="B239" s="9"/>
      <c r="C239" s="10">
        <v>42156</v>
      </c>
      <c r="D239" s="10">
        <v>42186</v>
      </c>
      <c r="E239" s="11">
        <f t="shared" si="16"/>
        <v>110568</v>
      </c>
      <c r="F239" s="12"/>
      <c r="G239" s="12">
        <f t="shared" si="14"/>
        <v>9210</v>
      </c>
      <c r="H239" s="12">
        <f t="shared" si="18"/>
        <v>1250</v>
      </c>
      <c r="I239" s="12">
        <f t="shared" si="15"/>
        <v>7960</v>
      </c>
    </row>
    <row r="240" spans="1:9" x14ac:dyDescent="0.3">
      <c r="A240" s="9">
        <v>5</v>
      </c>
      <c r="B240" s="9"/>
      <c r="C240" s="10">
        <v>42186</v>
      </c>
      <c r="D240" s="10">
        <v>42217</v>
      </c>
      <c r="E240" s="11">
        <v>113891</v>
      </c>
      <c r="F240" s="12"/>
      <c r="G240" s="12">
        <f t="shared" si="14"/>
        <v>9487</v>
      </c>
      <c r="H240" s="12">
        <f t="shared" si="18"/>
        <v>1250</v>
      </c>
      <c r="I240" s="12">
        <f t="shared" si="15"/>
        <v>8237</v>
      </c>
    </row>
    <row r="241" spans="1:9" x14ac:dyDescent="0.3">
      <c r="A241" s="9">
        <v>6</v>
      </c>
      <c r="B241" s="9"/>
      <c r="C241" s="10">
        <v>42217</v>
      </c>
      <c r="D241" s="10">
        <v>42248</v>
      </c>
      <c r="E241" s="11">
        <f t="shared" si="16"/>
        <v>113891</v>
      </c>
      <c r="F241" s="12"/>
      <c r="G241" s="12">
        <f t="shared" si="14"/>
        <v>9487</v>
      </c>
      <c r="H241" s="12">
        <f t="shared" si="18"/>
        <v>1250</v>
      </c>
      <c r="I241" s="12">
        <f t="shared" si="15"/>
        <v>8237</v>
      </c>
    </row>
    <row r="242" spans="1:9" x14ac:dyDescent="0.3">
      <c r="A242" s="9">
        <v>7</v>
      </c>
      <c r="B242" s="9"/>
      <c r="C242" s="10">
        <v>42248</v>
      </c>
      <c r="D242" s="10">
        <v>42278</v>
      </c>
      <c r="E242" s="11">
        <v>117099</v>
      </c>
      <c r="F242" s="12"/>
      <c r="G242" s="12">
        <f t="shared" si="14"/>
        <v>9754</v>
      </c>
      <c r="H242" s="12">
        <f t="shared" si="18"/>
        <v>1250</v>
      </c>
      <c r="I242" s="12">
        <f t="shared" si="15"/>
        <v>8504</v>
      </c>
    </row>
    <row r="243" spans="1:9" x14ac:dyDescent="0.3">
      <c r="A243" s="9">
        <v>8</v>
      </c>
      <c r="B243" s="9"/>
      <c r="C243" s="10">
        <v>42278</v>
      </c>
      <c r="D243" s="10">
        <v>42309</v>
      </c>
      <c r="E243" s="11">
        <f t="shared" si="16"/>
        <v>117099</v>
      </c>
      <c r="F243" s="12"/>
      <c r="G243" s="12">
        <f t="shared" si="14"/>
        <v>9754</v>
      </c>
      <c r="H243" s="12">
        <f t="shared" si="18"/>
        <v>1250</v>
      </c>
      <c r="I243" s="12">
        <f t="shared" si="15"/>
        <v>8504</v>
      </c>
    </row>
    <row r="244" spans="1:9" x14ac:dyDescent="0.3">
      <c r="A244" s="9">
        <v>9</v>
      </c>
      <c r="B244" s="9"/>
      <c r="C244" s="10">
        <v>42309</v>
      </c>
      <c r="D244" s="10">
        <v>42339</v>
      </c>
      <c r="E244" s="11">
        <f t="shared" si="16"/>
        <v>117099</v>
      </c>
      <c r="F244" s="12"/>
      <c r="G244" s="12">
        <f t="shared" si="14"/>
        <v>9754</v>
      </c>
      <c r="H244" s="12">
        <f t="shared" si="18"/>
        <v>1250</v>
      </c>
      <c r="I244" s="12">
        <f t="shared" si="15"/>
        <v>8504</v>
      </c>
    </row>
    <row r="245" spans="1:9" x14ac:dyDescent="0.3">
      <c r="A245" s="9">
        <v>10</v>
      </c>
      <c r="B245" s="9"/>
      <c r="C245" s="10">
        <v>42339</v>
      </c>
      <c r="D245" s="10">
        <v>42370</v>
      </c>
      <c r="E245" s="11">
        <f t="shared" si="16"/>
        <v>117099</v>
      </c>
      <c r="F245" s="12"/>
      <c r="G245" s="12">
        <f t="shared" si="14"/>
        <v>9754</v>
      </c>
      <c r="H245" s="12">
        <f t="shared" si="18"/>
        <v>1250</v>
      </c>
      <c r="I245" s="12">
        <f t="shared" si="15"/>
        <v>8504</v>
      </c>
    </row>
    <row r="246" spans="1:9" x14ac:dyDescent="0.3">
      <c r="A246" s="9">
        <v>11</v>
      </c>
      <c r="B246" s="9"/>
      <c r="C246" s="10">
        <v>42370</v>
      </c>
      <c r="D246" s="10">
        <v>42401</v>
      </c>
      <c r="E246" s="11">
        <f t="shared" si="16"/>
        <v>117099</v>
      </c>
      <c r="F246" s="12"/>
      <c r="G246" s="12">
        <f t="shared" si="14"/>
        <v>9754</v>
      </c>
      <c r="H246" s="12">
        <f t="shared" si="18"/>
        <v>1250</v>
      </c>
      <c r="I246" s="12">
        <f t="shared" si="15"/>
        <v>8504</v>
      </c>
    </row>
    <row r="247" spans="1:9" x14ac:dyDescent="0.3">
      <c r="A247" s="9">
        <v>12</v>
      </c>
      <c r="B247" s="17" t="s">
        <v>97</v>
      </c>
      <c r="C247" s="10">
        <v>42401</v>
      </c>
      <c r="D247" s="10">
        <v>42430</v>
      </c>
      <c r="E247" s="11">
        <f t="shared" si="16"/>
        <v>117099</v>
      </c>
      <c r="F247" s="12">
        <f>SUM(E236:E247)</f>
        <v>1369534</v>
      </c>
      <c r="G247" s="12">
        <f t="shared" si="14"/>
        <v>9754</v>
      </c>
      <c r="H247" s="12">
        <f t="shared" si="18"/>
        <v>1250</v>
      </c>
      <c r="I247" s="12">
        <f t="shared" si="15"/>
        <v>8504</v>
      </c>
    </row>
    <row r="248" spans="1:9" x14ac:dyDescent="0.3">
      <c r="A248" s="9">
        <v>1</v>
      </c>
      <c r="B248" s="9"/>
      <c r="C248" s="10">
        <v>42430</v>
      </c>
      <c r="D248" s="10">
        <v>42461</v>
      </c>
      <c r="E248" s="11">
        <f t="shared" si="16"/>
        <v>117099</v>
      </c>
      <c r="F248" s="12"/>
      <c r="G248" s="12">
        <f t="shared" si="14"/>
        <v>9754</v>
      </c>
      <c r="H248" s="12">
        <f t="shared" si="18"/>
        <v>1250</v>
      </c>
      <c r="I248" s="12">
        <f t="shared" si="15"/>
        <v>8504</v>
      </c>
    </row>
    <row r="249" spans="1:9" x14ac:dyDescent="0.3">
      <c r="A249" s="9">
        <v>2</v>
      </c>
      <c r="B249" s="9"/>
      <c r="C249" s="10">
        <v>42461</v>
      </c>
      <c r="D249" s="10">
        <v>42491</v>
      </c>
      <c r="E249" s="11">
        <v>120308</v>
      </c>
      <c r="F249" s="12"/>
      <c r="G249" s="12">
        <f t="shared" si="14"/>
        <v>10022</v>
      </c>
      <c r="H249" s="12">
        <f t="shared" si="18"/>
        <v>1250</v>
      </c>
      <c r="I249" s="12">
        <f t="shared" si="15"/>
        <v>8772</v>
      </c>
    </row>
    <row r="250" spans="1:9" x14ac:dyDescent="0.3">
      <c r="A250" s="9">
        <v>3</v>
      </c>
      <c r="B250" s="9"/>
      <c r="C250" s="10">
        <v>42491</v>
      </c>
      <c r="D250" s="10">
        <v>42522</v>
      </c>
      <c r="E250" s="11">
        <f t="shared" si="16"/>
        <v>120308</v>
      </c>
      <c r="F250" s="12"/>
      <c r="G250" s="12">
        <f t="shared" si="14"/>
        <v>10022</v>
      </c>
      <c r="H250" s="12">
        <f t="shared" si="18"/>
        <v>1250</v>
      </c>
      <c r="I250" s="12">
        <f t="shared" si="15"/>
        <v>8772</v>
      </c>
    </row>
    <row r="251" spans="1:9" x14ac:dyDescent="0.3">
      <c r="A251" s="9">
        <v>4</v>
      </c>
      <c r="B251" s="9"/>
      <c r="C251" s="10">
        <v>42522</v>
      </c>
      <c r="D251" s="10">
        <v>42552</v>
      </c>
      <c r="E251" s="11">
        <f t="shared" si="16"/>
        <v>120308</v>
      </c>
      <c r="F251" s="12"/>
      <c r="G251" s="12">
        <f t="shared" si="14"/>
        <v>10022</v>
      </c>
      <c r="H251" s="12">
        <f t="shared" si="18"/>
        <v>1250</v>
      </c>
      <c r="I251" s="12">
        <f t="shared" si="15"/>
        <v>8772</v>
      </c>
    </row>
    <row r="252" spans="1:9" x14ac:dyDescent="0.3">
      <c r="A252" s="9">
        <v>5</v>
      </c>
      <c r="B252" s="9"/>
      <c r="C252" s="10">
        <v>42552</v>
      </c>
      <c r="D252" s="10">
        <v>42583</v>
      </c>
      <c r="E252" s="11">
        <v>123930</v>
      </c>
      <c r="F252" s="12"/>
      <c r="G252" s="12">
        <f t="shared" si="14"/>
        <v>10323</v>
      </c>
      <c r="H252" s="12">
        <f t="shared" si="18"/>
        <v>1250</v>
      </c>
      <c r="I252" s="12">
        <f t="shared" si="15"/>
        <v>9073</v>
      </c>
    </row>
    <row r="253" spans="1:9" x14ac:dyDescent="0.3">
      <c r="A253" s="9">
        <v>6</v>
      </c>
      <c r="B253" s="9"/>
      <c r="C253" s="10">
        <v>42583</v>
      </c>
      <c r="D253" s="10">
        <v>42614</v>
      </c>
      <c r="E253" s="11">
        <f t="shared" si="16"/>
        <v>123930</v>
      </c>
      <c r="F253" s="12"/>
      <c r="G253" s="12">
        <f t="shared" si="14"/>
        <v>10323</v>
      </c>
      <c r="H253" s="12">
        <f t="shared" si="18"/>
        <v>1250</v>
      </c>
      <c r="I253" s="12">
        <f t="shared" si="15"/>
        <v>9073</v>
      </c>
    </row>
    <row r="254" spans="1:9" x14ac:dyDescent="0.3">
      <c r="A254" s="9">
        <v>7</v>
      </c>
      <c r="B254" s="9"/>
      <c r="C254" s="10">
        <v>42614</v>
      </c>
      <c r="D254" s="10">
        <v>42644</v>
      </c>
      <c r="E254" s="11">
        <f t="shared" si="16"/>
        <v>123930</v>
      </c>
      <c r="F254" s="12"/>
      <c r="G254" s="12">
        <f t="shared" si="14"/>
        <v>10323</v>
      </c>
      <c r="H254" s="12">
        <f t="shared" si="18"/>
        <v>1250</v>
      </c>
      <c r="I254" s="12">
        <f t="shared" si="15"/>
        <v>9073</v>
      </c>
    </row>
    <row r="255" spans="1:9" x14ac:dyDescent="0.3">
      <c r="A255" s="9">
        <v>8</v>
      </c>
      <c r="B255" s="9"/>
      <c r="C255" s="10">
        <v>42644</v>
      </c>
      <c r="D255" s="10">
        <v>42675</v>
      </c>
      <c r="E255" s="11">
        <f t="shared" si="16"/>
        <v>123930</v>
      </c>
      <c r="F255" s="12"/>
      <c r="G255" s="12">
        <f t="shared" si="14"/>
        <v>10323</v>
      </c>
      <c r="H255" s="12">
        <f t="shared" si="18"/>
        <v>1250</v>
      </c>
      <c r="I255" s="12">
        <f t="shared" si="15"/>
        <v>9073</v>
      </c>
    </row>
    <row r="256" spans="1:9" x14ac:dyDescent="0.3">
      <c r="A256" s="9">
        <v>9</v>
      </c>
      <c r="B256" s="9"/>
      <c r="C256" s="10">
        <v>42675</v>
      </c>
      <c r="D256" s="10">
        <v>42705</v>
      </c>
      <c r="E256" s="11">
        <v>143208</v>
      </c>
      <c r="F256" s="12"/>
      <c r="G256" s="12">
        <f t="shared" si="14"/>
        <v>11929</v>
      </c>
      <c r="H256" s="12">
        <f t="shared" si="18"/>
        <v>1250</v>
      </c>
      <c r="I256" s="12">
        <f t="shared" si="15"/>
        <v>10679</v>
      </c>
    </row>
    <row r="257" spans="1:9" x14ac:dyDescent="0.3">
      <c r="A257" s="9">
        <v>10</v>
      </c>
      <c r="B257" s="9"/>
      <c r="C257" s="10">
        <v>42705</v>
      </c>
      <c r="D257" s="10">
        <v>42736</v>
      </c>
      <c r="E257" s="11">
        <v>127786</v>
      </c>
      <c r="F257" s="12"/>
      <c r="G257" s="12">
        <f t="shared" si="14"/>
        <v>10645</v>
      </c>
      <c r="H257" s="12">
        <f t="shared" si="18"/>
        <v>1250</v>
      </c>
      <c r="I257" s="12">
        <f t="shared" si="15"/>
        <v>9395</v>
      </c>
    </row>
    <row r="258" spans="1:9" x14ac:dyDescent="0.3">
      <c r="A258" s="9">
        <v>11</v>
      </c>
      <c r="B258" s="9"/>
      <c r="C258" s="10">
        <v>42736</v>
      </c>
      <c r="D258" s="10">
        <v>42767</v>
      </c>
      <c r="E258" s="11">
        <f t="shared" si="16"/>
        <v>127786</v>
      </c>
      <c r="F258" s="12"/>
      <c r="G258" s="12">
        <f t="shared" si="14"/>
        <v>10645</v>
      </c>
      <c r="H258" s="12">
        <f t="shared" si="18"/>
        <v>1250</v>
      </c>
      <c r="I258" s="12">
        <f t="shared" si="15"/>
        <v>9395</v>
      </c>
    </row>
    <row r="259" spans="1:9" x14ac:dyDescent="0.3">
      <c r="A259" s="9">
        <v>12</v>
      </c>
      <c r="B259" s="17" t="s">
        <v>98</v>
      </c>
      <c r="C259" s="10">
        <v>42767</v>
      </c>
      <c r="D259" s="10">
        <v>42795</v>
      </c>
      <c r="E259" s="11">
        <f t="shared" si="16"/>
        <v>127786</v>
      </c>
      <c r="F259" s="12">
        <f>SUM(E248:E259)</f>
        <v>1500309</v>
      </c>
      <c r="G259" s="12">
        <f t="shared" si="14"/>
        <v>10645</v>
      </c>
      <c r="H259" s="12">
        <f t="shared" si="18"/>
        <v>1250</v>
      </c>
      <c r="I259" s="12">
        <f t="shared" si="15"/>
        <v>9395</v>
      </c>
    </row>
    <row r="260" spans="1:9" x14ac:dyDescent="0.3">
      <c r="A260" s="9">
        <v>1</v>
      </c>
      <c r="B260" s="9"/>
      <c r="C260" s="10">
        <v>42795</v>
      </c>
      <c r="D260" s="10">
        <v>42826</v>
      </c>
      <c r="E260" s="11">
        <f t="shared" si="16"/>
        <v>127786</v>
      </c>
      <c r="F260" s="12"/>
      <c r="G260" s="12">
        <f t="shared" ref="G260:G323" si="19">ROUND(E260*8.33%,0)</f>
        <v>10645</v>
      </c>
      <c r="H260" s="12">
        <f t="shared" si="18"/>
        <v>1250</v>
      </c>
      <c r="I260" s="12">
        <f t="shared" si="15"/>
        <v>9395</v>
      </c>
    </row>
    <row r="261" spans="1:9" x14ac:dyDescent="0.3">
      <c r="A261" s="9">
        <v>2</v>
      </c>
      <c r="B261" s="9"/>
      <c r="C261" s="10">
        <v>42826</v>
      </c>
      <c r="D261" s="10">
        <v>42856</v>
      </c>
      <c r="E261" s="11">
        <v>136598</v>
      </c>
      <c r="F261" s="12"/>
      <c r="G261" s="12">
        <f t="shared" si="19"/>
        <v>11379</v>
      </c>
      <c r="H261" s="12">
        <f t="shared" si="18"/>
        <v>1250</v>
      </c>
      <c r="I261" s="12">
        <f t="shared" ref="I261:I324" si="20">MAX(G261-H261,0)</f>
        <v>10129</v>
      </c>
    </row>
    <row r="262" spans="1:9" x14ac:dyDescent="0.3">
      <c r="A262" s="9">
        <v>3</v>
      </c>
      <c r="B262" s="9"/>
      <c r="C262" s="10">
        <v>42856</v>
      </c>
      <c r="D262" s="10">
        <v>42887</v>
      </c>
      <c r="E262" s="11">
        <v>129989</v>
      </c>
      <c r="F262" s="12"/>
      <c r="G262" s="12">
        <f t="shared" si="19"/>
        <v>10828</v>
      </c>
      <c r="H262" s="12">
        <f t="shared" si="18"/>
        <v>1250</v>
      </c>
      <c r="I262" s="12">
        <f t="shared" si="20"/>
        <v>9578</v>
      </c>
    </row>
    <row r="263" spans="1:9" x14ac:dyDescent="0.3">
      <c r="A263" s="9">
        <v>4</v>
      </c>
      <c r="B263" s="9"/>
      <c r="C263" s="10">
        <v>42887</v>
      </c>
      <c r="D263" s="10">
        <v>42917</v>
      </c>
      <c r="E263" s="11">
        <f t="shared" ref="E263:E293" si="21">E262</f>
        <v>129989</v>
      </c>
      <c r="F263" s="12"/>
      <c r="G263" s="12">
        <f t="shared" si="19"/>
        <v>10828</v>
      </c>
      <c r="H263" s="12">
        <f t="shared" si="18"/>
        <v>1250</v>
      </c>
      <c r="I263" s="12">
        <f t="shared" si="20"/>
        <v>9578</v>
      </c>
    </row>
    <row r="264" spans="1:9" x14ac:dyDescent="0.3">
      <c r="A264" s="9">
        <v>5</v>
      </c>
      <c r="B264" s="9"/>
      <c r="C264" s="10">
        <v>42917</v>
      </c>
      <c r="D264" s="10">
        <v>42948</v>
      </c>
      <c r="E264" s="11">
        <v>152880</v>
      </c>
      <c r="F264" s="12"/>
      <c r="G264" s="12">
        <f t="shared" si="19"/>
        <v>12735</v>
      </c>
      <c r="H264" s="12">
        <f t="shared" si="18"/>
        <v>1250</v>
      </c>
      <c r="I264" s="12">
        <f t="shared" si="20"/>
        <v>11485</v>
      </c>
    </row>
    <row r="265" spans="1:9" x14ac:dyDescent="0.3">
      <c r="A265" s="9">
        <v>6</v>
      </c>
      <c r="B265" s="9"/>
      <c r="C265" s="10">
        <v>42948</v>
      </c>
      <c r="D265" s="10">
        <v>42979</v>
      </c>
      <c r="E265" s="11">
        <f t="shared" si="21"/>
        <v>152880</v>
      </c>
      <c r="F265" s="12"/>
      <c r="G265" s="12">
        <f t="shared" si="19"/>
        <v>12735</v>
      </c>
      <c r="H265" s="12">
        <f t="shared" si="18"/>
        <v>1250</v>
      </c>
      <c r="I265" s="12">
        <f t="shared" si="20"/>
        <v>11485</v>
      </c>
    </row>
    <row r="266" spans="1:9" x14ac:dyDescent="0.3">
      <c r="A266" s="9">
        <v>7</v>
      </c>
      <c r="B266" s="9"/>
      <c r="C266" s="10">
        <v>42979</v>
      </c>
      <c r="D266" s="10">
        <v>43009</v>
      </c>
      <c r="E266" s="11">
        <f t="shared" si="21"/>
        <v>152880</v>
      </c>
      <c r="F266" s="12"/>
      <c r="G266" s="12">
        <f t="shared" si="19"/>
        <v>12735</v>
      </c>
      <c r="H266" s="12">
        <f t="shared" si="18"/>
        <v>1250</v>
      </c>
      <c r="I266" s="12">
        <f t="shared" si="20"/>
        <v>11485</v>
      </c>
    </row>
    <row r="267" spans="1:9" x14ac:dyDescent="0.3">
      <c r="A267" s="9">
        <v>8</v>
      </c>
      <c r="B267" s="9"/>
      <c r="C267" s="10">
        <v>43009</v>
      </c>
      <c r="D267" s="10">
        <v>43040</v>
      </c>
      <c r="E267" s="11">
        <v>154350</v>
      </c>
      <c r="F267" s="12"/>
      <c r="G267" s="12">
        <f t="shared" si="19"/>
        <v>12857</v>
      </c>
      <c r="H267" s="12">
        <f t="shared" si="18"/>
        <v>1250</v>
      </c>
      <c r="I267" s="12">
        <f t="shared" si="20"/>
        <v>11607</v>
      </c>
    </row>
    <row r="268" spans="1:9" x14ac:dyDescent="0.3">
      <c r="A268" s="9">
        <v>9</v>
      </c>
      <c r="B268" s="9"/>
      <c r="C268" s="10">
        <v>43040</v>
      </c>
      <c r="D268" s="10">
        <v>43070</v>
      </c>
      <c r="E268" s="11">
        <f t="shared" si="21"/>
        <v>154350</v>
      </c>
      <c r="F268" s="12"/>
      <c r="G268" s="12">
        <f t="shared" si="19"/>
        <v>12857</v>
      </c>
      <c r="H268" s="12">
        <f t="shared" si="18"/>
        <v>1250</v>
      </c>
      <c r="I268" s="12">
        <f t="shared" si="20"/>
        <v>11607</v>
      </c>
    </row>
    <row r="269" spans="1:9" x14ac:dyDescent="0.3">
      <c r="A269" s="9">
        <v>10</v>
      </c>
      <c r="B269" s="9"/>
      <c r="C269" s="10">
        <v>43070</v>
      </c>
      <c r="D269" s="10">
        <v>43101</v>
      </c>
      <c r="E269" s="11">
        <f t="shared" si="21"/>
        <v>154350</v>
      </c>
      <c r="F269" s="12"/>
      <c r="G269" s="12">
        <f t="shared" si="19"/>
        <v>12857</v>
      </c>
      <c r="H269" s="12">
        <f t="shared" si="18"/>
        <v>1250</v>
      </c>
      <c r="I269" s="12">
        <f t="shared" si="20"/>
        <v>11607</v>
      </c>
    </row>
    <row r="270" spans="1:9" x14ac:dyDescent="0.3">
      <c r="A270" s="9">
        <v>11</v>
      </c>
      <c r="B270" s="9"/>
      <c r="C270" s="10">
        <v>43101</v>
      </c>
      <c r="D270" s="10">
        <v>43132</v>
      </c>
      <c r="E270" s="11">
        <f t="shared" si="21"/>
        <v>154350</v>
      </c>
      <c r="F270" s="12"/>
      <c r="G270" s="12">
        <f t="shared" si="19"/>
        <v>12857</v>
      </c>
      <c r="H270" s="12">
        <f t="shared" si="18"/>
        <v>1250</v>
      </c>
      <c r="I270" s="12">
        <f t="shared" si="20"/>
        <v>11607</v>
      </c>
    </row>
    <row r="271" spans="1:9" x14ac:dyDescent="0.3">
      <c r="A271" s="9">
        <v>12</v>
      </c>
      <c r="B271" s="17" t="s">
        <v>99</v>
      </c>
      <c r="C271" s="10">
        <v>43132</v>
      </c>
      <c r="D271" s="10">
        <v>43160</v>
      </c>
      <c r="E271" s="11">
        <f t="shared" si="21"/>
        <v>154350</v>
      </c>
      <c r="F271" s="12">
        <f>SUM(E260:E271)</f>
        <v>1754752</v>
      </c>
      <c r="G271" s="12">
        <f t="shared" si="19"/>
        <v>12857</v>
      </c>
      <c r="H271" s="12">
        <f t="shared" si="18"/>
        <v>1250</v>
      </c>
      <c r="I271" s="12">
        <f t="shared" si="20"/>
        <v>11607</v>
      </c>
    </row>
    <row r="272" spans="1:9" x14ac:dyDescent="0.3">
      <c r="A272" s="9">
        <v>1</v>
      </c>
      <c r="B272" s="9"/>
      <c r="C272" s="10">
        <v>43160</v>
      </c>
      <c r="D272" s="10">
        <v>43191</v>
      </c>
      <c r="E272" s="11">
        <f t="shared" si="21"/>
        <v>154350</v>
      </c>
      <c r="F272" s="12"/>
      <c r="G272" s="12">
        <f t="shared" si="19"/>
        <v>12857</v>
      </c>
      <c r="H272" s="12">
        <f t="shared" si="18"/>
        <v>1250</v>
      </c>
      <c r="I272" s="12">
        <f t="shared" si="20"/>
        <v>11607</v>
      </c>
    </row>
    <row r="273" spans="1:9" x14ac:dyDescent="0.3">
      <c r="A273" s="9">
        <v>2</v>
      </c>
      <c r="B273" s="9"/>
      <c r="C273" s="10">
        <v>43191</v>
      </c>
      <c r="D273" s="10">
        <v>43221</v>
      </c>
      <c r="E273" s="11">
        <v>166110</v>
      </c>
      <c r="F273" s="12"/>
      <c r="G273" s="12">
        <f t="shared" si="19"/>
        <v>13837</v>
      </c>
      <c r="H273" s="12">
        <f t="shared" si="18"/>
        <v>1250</v>
      </c>
      <c r="I273" s="12">
        <f t="shared" si="20"/>
        <v>12587</v>
      </c>
    </row>
    <row r="274" spans="1:9" x14ac:dyDescent="0.3">
      <c r="A274" s="9">
        <v>3</v>
      </c>
      <c r="B274" s="9"/>
      <c r="C274" s="10">
        <v>43221</v>
      </c>
      <c r="D274" s="10">
        <v>43252</v>
      </c>
      <c r="E274" s="11">
        <v>157290</v>
      </c>
      <c r="F274" s="12"/>
      <c r="G274" s="12">
        <f t="shared" si="19"/>
        <v>13102</v>
      </c>
      <c r="H274" s="12">
        <f t="shared" si="18"/>
        <v>1250</v>
      </c>
      <c r="I274" s="12">
        <f t="shared" si="20"/>
        <v>11852</v>
      </c>
    </row>
    <row r="275" spans="1:9" x14ac:dyDescent="0.3">
      <c r="A275" s="9">
        <v>4</v>
      </c>
      <c r="B275" s="9"/>
      <c r="C275" s="10">
        <v>43252</v>
      </c>
      <c r="D275" s="10">
        <v>43282</v>
      </c>
      <c r="E275" s="11">
        <f t="shared" si="21"/>
        <v>157290</v>
      </c>
      <c r="F275" s="12"/>
      <c r="G275" s="12">
        <f t="shared" si="19"/>
        <v>13102</v>
      </c>
      <c r="H275" s="12">
        <f t="shared" si="18"/>
        <v>1250</v>
      </c>
      <c r="I275" s="12">
        <f t="shared" si="20"/>
        <v>11852</v>
      </c>
    </row>
    <row r="276" spans="1:9" x14ac:dyDescent="0.3">
      <c r="A276" s="9">
        <v>5</v>
      </c>
      <c r="B276" s="9"/>
      <c r="C276" s="10">
        <v>43282</v>
      </c>
      <c r="D276" s="10">
        <v>43313</v>
      </c>
      <c r="E276" s="11">
        <v>161998</v>
      </c>
      <c r="F276" s="12"/>
      <c r="G276" s="12">
        <f t="shared" si="19"/>
        <v>13494</v>
      </c>
      <c r="H276" s="12">
        <f t="shared" si="18"/>
        <v>1250</v>
      </c>
      <c r="I276" s="12">
        <f t="shared" si="20"/>
        <v>12244</v>
      </c>
    </row>
    <row r="277" spans="1:9" x14ac:dyDescent="0.3">
      <c r="A277" s="9">
        <v>6</v>
      </c>
      <c r="B277" s="9"/>
      <c r="C277" s="10">
        <v>43313</v>
      </c>
      <c r="D277" s="10">
        <v>43344</v>
      </c>
      <c r="E277" s="11">
        <f t="shared" si="21"/>
        <v>161998</v>
      </c>
      <c r="F277" s="12"/>
      <c r="G277" s="12">
        <f t="shared" si="19"/>
        <v>13494</v>
      </c>
      <c r="H277" s="12">
        <f t="shared" si="18"/>
        <v>1250</v>
      </c>
      <c r="I277" s="12">
        <f t="shared" si="20"/>
        <v>12244</v>
      </c>
    </row>
    <row r="278" spans="1:9" x14ac:dyDescent="0.3">
      <c r="A278" s="9">
        <v>7</v>
      </c>
      <c r="B278" s="9"/>
      <c r="C278" s="10">
        <v>43344</v>
      </c>
      <c r="D278" s="10">
        <v>43374</v>
      </c>
      <c r="E278" s="11">
        <v>171082</v>
      </c>
      <c r="F278" s="12"/>
      <c r="G278" s="12">
        <f t="shared" si="19"/>
        <v>14251</v>
      </c>
      <c r="H278" s="12">
        <f t="shared" si="18"/>
        <v>1250</v>
      </c>
      <c r="I278" s="12">
        <f t="shared" si="20"/>
        <v>13001</v>
      </c>
    </row>
    <row r="279" spans="1:9" x14ac:dyDescent="0.3">
      <c r="A279" s="9">
        <v>8</v>
      </c>
      <c r="B279" s="9"/>
      <c r="C279" s="10">
        <v>43374</v>
      </c>
      <c r="D279" s="10">
        <v>43405</v>
      </c>
      <c r="E279" s="11">
        <v>165026</v>
      </c>
      <c r="F279" s="12"/>
      <c r="G279" s="12">
        <f t="shared" si="19"/>
        <v>13747</v>
      </c>
      <c r="H279" s="12">
        <f t="shared" si="18"/>
        <v>1250</v>
      </c>
      <c r="I279" s="12">
        <f t="shared" si="20"/>
        <v>12497</v>
      </c>
    </row>
    <row r="280" spans="1:9" x14ac:dyDescent="0.3">
      <c r="A280" s="9">
        <v>9</v>
      </c>
      <c r="B280" s="9"/>
      <c r="C280" s="10">
        <v>43405</v>
      </c>
      <c r="D280" s="10">
        <v>43435</v>
      </c>
      <c r="E280" s="11">
        <f t="shared" si="21"/>
        <v>165026</v>
      </c>
      <c r="F280" s="12"/>
      <c r="G280" s="12">
        <f t="shared" si="19"/>
        <v>13747</v>
      </c>
      <c r="H280" s="12">
        <f t="shared" si="18"/>
        <v>1250</v>
      </c>
      <c r="I280" s="12">
        <f t="shared" si="20"/>
        <v>12497</v>
      </c>
    </row>
    <row r="281" spans="1:9" x14ac:dyDescent="0.3">
      <c r="A281" s="9">
        <v>10</v>
      </c>
      <c r="B281" s="9"/>
      <c r="C281" s="10">
        <v>43435</v>
      </c>
      <c r="D281" s="10">
        <v>43466</v>
      </c>
      <c r="E281" s="11">
        <f t="shared" si="21"/>
        <v>165026</v>
      </c>
      <c r="F281" s="12"/>
      <c r="G281" s="12">
        <f t="shared" si="19"/>
        <v>13747</v>
      </c>
      <c r="H281" s="12">
        <f t="shared" si="18"/>
        <v>1250</v>
      </c>
      <c r="I281" s="12">
        <f t="shared" si="20"/>
        <v>12497</v>
      </c>
    </row>
    <row r="282" spans="1:9" x14ac:dyDescent="0.3">
      <c r="A282" s="9">
        <v>11</v>
      </c>
      <c r="B282" s="9"/>
      <c r="C282" s="10">
        <v>43466</v>
      </c>
      <c r="D282" s="10">
        <v>43497</v>
      </c>
      <c r="E282" s="11">
        <f t="shared" si="21"/>
        <v>165026</v>
      </c>
      <c r="F282" s="12"/>
      <c r="G282" s="12">
        <f t="shared" si="19"/>
        <v>13747</v>
      </c>
      <c r="H282" s="12">
        <f t="shared" si="18"/>
        <v>1250</v>
      </c>
      <c r="I282" s="12">
        <f t="shared" si="20"/>
        <v>12497</v>
      </c>
    </row>
    <row r="283" spans="1:9" x14ac:dyDescent="0.3">
      <c r="A283" s="9">
        <v>12</v>
      </c>
      <c r="B283" s="17" t="s">
        <v>100</v>
      </c>
      <c r="C283" s="10">
        <v>43497</v>
      </c>
      <c r="D283" s="10">
        <v>43525</v>
      </c>
      <c r="E283" s="11">
        <f t="shared" si="21"/>
        <v>165026</v>
      </c>
      <c r="F283" s="12">
        <f>SUM(E272:E283)</f>
        <v>1955248</v>
      </c>
      <c r="G283" s="12">
        <f t="shared" si="19"/>
        <v>13747</v>
      </c>
      <c r="H283" s="12">
        <f t="shared" si="18"/>
        <v>1250</v>
      </c>
      <c r="I283" s="12">
        <f t="shared" si="20"/>
        <v>12497</v>
      </c>
    </row>
    <row r="284" spans="1:9" x14ac:dyDescent="0.3">
      <c r="A284" s="9">
        <v>1</v>
      </c>
      <c r="B284" s="9"/>
      <c r="C284" s="10">
        <v>43525</v>
      </c>
      <c r="D284" s="10">
        <v>43556</v>
      </c>
      <c r="E284" s="11">
        <f t="shared" si="21"/>
        <v>165026</v>
      </c>
      <c r="F284" s="12"/>
      <c r="G284" s="12">
        <f t="shared" si="19"/>
        <v>13747</v>
      </c>
      <c r="H284" s="12">
        <f t="shared" si="18"/>
        <v>1250</v>
      </c>
      <c r="I284" s="12">
        <f t="shared" si="20"/>
        <v>12497</v>
      </c>
    </row>
    <row r="285" spans="1:9" x14ac:dyDescent="0.3">
      <c r="A285" s="9">
        <v>2</v>
      </c>
      <c r="B285" s="9"/>
      <c r="C285" s="10">
        <v>43556</v>
      </c>
      <c r="D285" s="10">
        <v>43586</v>
      </c>
      <c r="E285" s="11">
        <v>183194</v>
      </c>
      <c r="F285" s="12"/>
      <c r="G285" s="12">
        <f t="shared" si="19"/>
        <v>15260</v>
      </c>
      <c r="H285" s="12">
        <f t="shared" si="18"/>
        <v>1250</v>
      </c>
      <c r="I285" s="12">
        <f t="shared" si="20"/>
        <v>14010</v>
      </c>
    </row>
    <row r="286" spans="1:9" x14ac:dyDescent="0.3">
      <c r="A286" s="9">
        <v>3</v>
      </c>
      <c r="B286" s="9"/>
      <c r="C286" s="10">
        <v>43586</v>
      </c>
      <c r="D286" s="10">
        <v>43617</v>
      </c>
      <c r="E286" s="11">
        <v>169568</v>
      </c>
      <c r="F286" s="12"/>
      <c r="G286" s="12">
        <f t="shared" si="19"/>
        <v>14125</v>
      </c>
      <c r="H286" s="12">
        <f t="shared" si="18"/>
        <v>1250</v>
      </c>
      <c r="I286" s="12">
        <f t="shared" si="20"/>
        <v>12875</v>
      </c>
    </row>
    <row r="287" spans="1:9" x14ac:dyDescent="0.3">
      <c r="A287" s="9">
        <v>4</v>
      </c>
      <c r="B287" s="9"/>
      <c r="C287" s="10">
        <v>43617</v>
      </c>
      <c r="D287" s="10">
        <v>43647</v>
      </c>
      <c r="E287" s="11">
        <f t="shared" si="21"/>
        <v>169568</v>
      </c>
      <c r="F287" s="12"/>
      <c r="G287" s="12">
        <f t="shared" si="19"/>
        <v>14125</v>
      </c>
      <c r="H287" s="12">
        <f t="shared" si="18"/>
        <v>1250</v>
      </c>
      <c r="I287" s="12">
        <f t="shared" si="20"/>
        <v>12875</v>
      </c>
    </row>
    <row r="288" spans="1:9" x14ac:dyDescent="0.3">
      <c r="A288" s="9">
        <v>5</v>
      </c>
      <c r="B288" s="9"/>
      <c r="C288" s="10">
        <v>43647</v>
      </c>
      <c r="D288" s="10">
        <v>43678</v>
      </c>
      <c r="E288" s="11">
        <v>174608</v>
      </c>
      <c r="F288" s="12"/>
      <c r="G288" s="12">
        <f t="shared" si="19"/>
        <v>14545</v>
      </c>
      <c r="H288" s="12">
        <f t="shared" si="18"/>
        <v>1250</v>
      </c>
      <c r="I288" s="12">
        <f t="shared" si="20"/>
        <v>13295</v>
      </c>
    </row>
    <row r="289" spans="1:9" x14ac:dyDescent="0.3">
      <c r="A289" s="9">
        <v>6</v>
      </c>
      <c r="B289" s="9"/>
      <c r="C289" s="10">
        <v>43678</v>
      </c>
      <c r="D289" s="10">
        <v>43709</v>
      </c>
      <c r="E289" s="11">
        <f t="shared" si="21"/>
        <v>174608</v>
      </c>
      <c r="F289" s="12"/>
      <c r="G289" s="12">
        <f t="shared" si="19"/>
        <v>14545</v>
      </c>
      <c r="H289" s="12">
        <f t="shared" si="18"/>
        <v>1250</v>
      </c>
      <c r="I289" s="12">
        <f t="shared" si="20"/>
        <v>13295</v>
      </c>
    </row>
    <row r="290" spans="1:9" x14ac:dyDescent="0.3">
      <c r="A290" s="9">
        <v>7</v>
      </c>
      <c r="B290" s="9"/>
      <c r="C290" s="10">
        <v>43709</v>
      </c>
      <c r="D290" s="10">
        <v>43739</v>
      </c>
      <c r="E290" s="11">
        <f t="shared" si="21"/>
        <v>174608</v>
      </c>
      <c r="F290" s="12"/>
      <c r="G290" s="12">
        <f t="shared" si="19"/>
        <v>14545</v>
      </c>
      <c r="H290" s="12">
        <f t="shared" si="18"/>
        <v>1250</v>
      </c>
      <c r="I290" s="12">
        <f t="shared" si="20"/>
        <v>13295</v>
      </c>
    </row>
    <row r="291" spans="1:9" x14ac:dyDescent="0.3">
      <c r="A291" s="9">
        <v>8</v>
      </c>
      <c r="B291" s="9"/>
      <c r="C291" s="10">
        <v>43739</v>
      </c>
      <c r="D291" s="10">
        <v>43770</v>
      </c>
      <c r="E291" s="11">
        <v>205788</v>
      </c>
      <c r="F291" s="12"/>
      <c r="G291" s="12">
        <f t="shared" si="19"/>
        <v>17142</v>
      </c>
      <c r="H291" s="12">
        <f t="shared" si="18"/>
        <v>1250</v>
      </c>
      <c r="I291" s="12">
        <f t="shared" si="20"/>
        <v>15892</v>
      </c>
    </row>
    <row r="292" spans="1:9" x14ac:dyDescent="0.3">
      <c r="A292" s="9">
        <v>9</v>
      </c>
      <c r="B292" s="9"/>
      <c r="C292" s="10">
        <v>43770</v>
      </c>
      <c r="D292" s="10">
        <v>43800</v>
      </c>
      <c r="E292" s="11">
        <v>182403</v>
      </c>
      <c r="F292" s="12"/>
      <c r="G292" s="12">
        <f t="shared" si="19"/>
        <v>15194</v>
      </c>
      <c r="H292" s="12">
        <f t="shared" si="18"/>
        <v>1250</v>
      </c>
      <c r="I292" s="12">
        <f t="shared" si="20"/>
        <v>13944</v>
      </c>
    </row>
    <row r="293" spans="1:9" x14ac:dyDescent="0.3">
      <c r="A293" s="9">
        <v>10</v>
      </c>
      <c r="B293" s="9"/>
      <c r="C293" s="10">
        <v>43800</v>
      </c>
      <c r="D293" s="10">
        <v>43831</v>
      </c>
      <c r="E293" s="11">
        <f t="shared" si="21"/>
        <v>182403</v>
      </c>
      <c r="F293" s="12"/>
      <c r="G293" s="12">
        <f t="shared" si="19"/>
        <v>15194</v>
      </c>
      <c r="H293" s="12">
        <f t="shared" si="18"/>
        <v>1250</v>
      </c>
      <c r="I293" s="12">
        <f t="shared" si="20"/>
        <v>13944</v>
      </c>
    </row>
    <row r="294" spans="1:9" x14ac:dyDescent="0.3">
      <c r="A294" s="9">
        <v>11</v>
      </c>
      <c r="B294" s="9"/>
      <c r="C294" s="10">
        <v>43831</v>
      </c>
      <c r="D294" s="10">
        <v>43862</v>
      </c>
      <c r="E294" s="11">
        <v>0</v>
      </c>
      <c r="F294" s="12"/>
      <c r="G294" s="12">
        <f t="shared" si="19"/>
        <v>0</v>
      </c>
      <c r="H294" s="12">
        <f t="shared" ref="H294:H331" si="22">IF(E294=0,0,1250)</f>
        <v>0</v>
      </c>
      <c r="I294" s="12">
        <f t="shared" si="20"/>
        <v>0</v>
      </c>
    </row>
    <row r="295" spans="1:9" x14ac:dyDescent="0.3">
      <c r="A295" s="9">
        <v>12</v>
      </c>
      <c r="B295" s="17" t="s">
        <v>101</v>
      </c>
      <c r="C295" s="10">
        <v>43862</v>
      </c>
      <c r="D295" s="10">
        <v>43891</v>
      </c>
      <c r="E295" s="11">
        <f t="shared" ref="E295:E331" si="23">E294</f>
        <v>0</v>
      </c>
      <c r="F295" s="12">
        <f>SUM(E284:E295)</f>
        <v>1781774</v>
      </c>
      <c r="G295" s="12">
        <f t="shared" si="19"/>
        <v>0</v>
      </c>
      <c r="H295" s="12">
        <f t="shared" si="22"/>
        <v>0</v>
      </c>
      <c r="I295" s="12">
        <f t="shared" si="20"/>
        <v>0</v>
      </c>
    </row>
    <row r="296" spans="1:9" x14ac:dyDescent="0.3">
      <c r="A296" s="9">
        <v>1</v>
      </c>
      <c r="B296" s="9"/>
      <c r="C296" s="10">
        <v>43891</v>
      </c>
      <c r="D296" s="10">
        <v>43922</v>
      </c>
      <c r="E296" s="11">
        <f t="shared" si="23"/>
        <v>0</v>
      </c>
      <c r="F296" s="12"/>
      <c r="G296" s="12">
        <f t="shared" si="19"/>
        <v>0</v>
      </c>
      <c r="H296" s="12">
        <f t="shared" si="22"/>
        <v>0</v>
      </c>
      <c r="I296" s="12">
        <f t="shared" si="20"/>
        <v>0</v>
      </c>
    </row>
    <row r="297" spans="1:9" x14ac:dyDescent="0.3">
      <c r="A297" s="9">
        <v>2</v>
      </c>
      <c r="B297" s="9"/>
      <c r="C297" s="10">
        <v>43922</v>
      </c>
      <c r="D297" s="10">
        <v>43952</v>
      </c>
      <c r="E297" s="11">
        <f t="shared" si="23"/>
        <v>0</v>
      </c>
      <c r="F297" s="12"/>
      <c r="G297" s="12">
        <f t="shared" si="19"/>
        <v>0</v>
      </c>
      <c r="H297" s="12">
        <f t="shared" si="22"/>
        <v>0</v>
      </c>
      <c r="I297" s="12">
        <f t="shared" si="20"/>
        <v>0</v>
      </c>
    </row>
    <row r="298" spans="1:9" x14ac:dyDescent="0.3">
      <c r="A298" s="9">
        <v>3</v>
      </c>
      <c r="B298" s="9"/>
      <c r="C298" s="10">
        <v>43952</v>
      </c>
      <c r="D298" s="10">
        <v>43983</v>
      </c>
      <c r="E298" s="11">
        <f t="shared" si="23"/>
        <v>0</v>
      </c>
      <c r="F298" s="12"/>
      <c r="G298" s="12">
        <f t="shared" si="19"/>
        <v>0</v>
      </c>
      <c r="H298" s="12">
        <f t="shared" si="22"/>
        <v>0</v>
      </c>
      <c r="I298" s="12">
        <f t="shared" si="20"/>
        <v>0</v>
      </c>
    </row>
    <row r="299" spans="1:9" x14ac:dyDescent="0.3">
      <c r="A299" s="9">
        <v>4</v>
      </c>
      <c r="B299" s="9"/>
      <c r="C299" s="10">
        <v>43983</v>
      </c>
      <c r="D299" s="10">
        <v>44013</v>
      </c>
      <c r="E299" s="11">
        <f t="shared" si="23"/>
        <v>0</v>
      </c>
      <c r="F299" s="12"/>
      <c r="G299" s="12">
        <f t="shared" si="19"/>
        <v>0</v>
      </c>
      <c r="H299" s="12">
        <f t="shared" si="22"/>
        <v>0</v>
      </c>
      <c r="I299" s="12">
        <f t="shared" si="20"/>
        <v>0</v>
      </c>
    </row>
    <row r="300" spans="1:9" x14ac:dyDescent="0.3">
      <c r="A300" s="9">
        <v>5</v>
      </c>
      <c r="B300" s="9"/>
      <c r="C300" s="10">
        <v>44013</v>
      </c>
      <c r="D300" s="10">
        <v>44044</v>
      </c>
      <c r="E300" s="11">
        <f t="shared" si="23"/>
        <v>0</v>
      </c>
      <c r="F300" s="12"/>
      <c r="G300" s="12">
        <f t="shared" si="19"/>
        <v>0</v>
      </c>
      <c r="H300" s="12">
        <f t="shared" si="22"/>
        <v>0</v>
      </c>
      <c r="I300" s="12">
        <f t="shared" si="20"/>
        <v>0</v>
      </c>
    </row>
    <row r="301" spans="1:9" x14ac:dyDescent="0.3">
      <c r="A301" s="9">
        <v>6</v>
      </c>
      <c r="B301" s="9"/>
      <c r="C301" s="10">
        <v>44044</v>
      </c>
      <c r="D301" s="10">
        <v>44075</v>
      </c>
      <c r="E301" s="11">
        <f t="shared" si="23"/>
        <v>0</v>
      </c>
      <c r="F301" s="12"/>
      <c r="G301" s="12">
        <f t="shared" si="19"/>
        <v>0</v>
      </c>
      <c r="H301" s="12">
        <f t="shared" si="22"/>
        <v>0</v>
      </c>
      <c r="I301" s="12">
        <f t="shared" si="20"/>
        <v>0</v>
      </c>
    </row>
    <row r="302" spans="1:9" x14ac:dyDescent="0.3">
      <c r="A302" s="9">
        <v>7</v>
      </c>
      <c r="B302" s="9"/>
      <c r="C302" s="10">
        <v>44075</v>
      </c>
      <c r="D302" s="10">
        <v>44105</v>
      </c>
      <c r="E302" s="11">
        <f t="shared" si="23"/>
        <v>0</v>
      </c>
      <c r="F302" s="12"/>
      <c r="G302" s="12">
        <f t="shared" si="19"/>
        <v>0</v>
      </c>
      <c r="H302" s="12">
        <f t="shared" si="22"/>
        <v>0</v>
      </c>
      <c r="I302" s="12">
        <f t="shared" si="20"/>
        <v>0</v>
      </c>
    </row>
    <row r="303" spans="1:9" x14ac:dyDescent="0.3">
      <c r="A303" s="9">
        <v>8</v>
      </c>
      <c r="B303" s="9"/>
      <c r="C303" s="10">
        <v>44105</v>
      </c>
      <c r="D303" s="10">
        <v>44136</v>
      </c>
      <c r="E303" s="11">
        <f t="shared" si="23"/>
        <v>0</v>
      </c>
      <c r="F303" s="12"/>
      <c r="G303" s="12">
        <f t="shared" si="19"/>
        <v>0</v>
      </c>
      <c r="H303" s="12">
        <f t="shared" si="22"/>
        <v>0</v>
      </c>
      <c r="I303" s="12">
        <f t="shared" si="20"/>
        <v>0</v>
      </c>
    </row>
    <row r="304" spans="1:9" x14ac:dyDescent="0.3">
      <c r="A304" s="9">
        <v>9</v>
      </c>
      <c r="B304" s="9"/>
      <c r="C304" s="10">
        <v>44136</v>
      </c>
      <c r="D304" s="10">
        <v>44166</v>
      </c>
      <c r="E304" s="11">
        <f t="shared" si="23"/>
        <v>0</v>
      </c>
      <c r="F304" s="12"/>
      <c r="G304" s="12">
        <f t="shared" si="19"/>
        <v>0</v>
      </c>
      <c r="H304" s="12">
        <f t="shared" si="22"/>
        <v>0</v>
      </c>
      <c r="I304" s="12">
        <f t="shared" si="20"/>
        <v>0</v>
      </c>
    </row>
    <row r="305" spans="1:9" x14ac:dyDescent="0.3">
      <c r="A305" s="9">
        <v>10</v>
      </c>
      <c r="B305" s="9"/>
      <c r="C305" s="10">
        <v>44166</v>
      </c>
      <c r="D305" s="10">
        <v>44197</v>
      </c>
      <c r="E305" s="11">
        <f t="shared" si="23"/>
        <v>0</v>
      </c>
      <c r="F305" s="12"/>
      <c r="G305" s="12">
        <f t="shared" si="19"/>
        <v>0</v>
      </c>
      <c r="H305" s="12">
        <f t="shared" si="22"/>
        <v>0</v>
      </c>
      <c r="I305" s="12">
        <f t="shared" si="20"/>
        <v>0</v>
      </c>
    </row>
    <row r="306" spans="1:9" x14ac:dyDescent="0.3">
      <c r="A306" s="9">
        <v>11</v>
      </c>
      <c r="B306" s="9"/>
      <c r="C306" s="10">
        <v>44197</v>
      </c>
      <c r="D306" s="10">
        <v>44228</v>
      </c>
      <c r="E306" s="11">
        <f t="shared" si="23"/>
        <v>0</v>
      </c>
      <c r="F306" s="12"/>
      <c r="G306" s="12">
        <f t="shared" si="19"/>
        <v>0</v>
      </c>
      <c r="H306" s="12">
        <f t="shared" si="22"/>
        <v>0</v>
      </c>
      <c r="I306" s="12">
        <f t="shared" si="20"/>
        <v>0</v>
      </c>
    </row>
    <row r="307" spans="1:9" x14ac:dyDescent="0.3">
      <c r="A307" s="9">
        <v>12</v>
      </c>
      <c r="B307" s="17" t="s">
        <v>102</v>
      </c>
      <c r="C307" s="10">
        <v>44228</v>
      </c>
      <c r="D307" s="10">
        <v>44256</v>
      </c>
      <c r="E307" s="11">
        <f t="shared" si="23"/>
        <v>0</v>
      </c>
      <c r="F307" s="12">
        <f>SUM(E296:E307)</f>
        <v>0</v>
      </c>
      <c r="G307" s="12">
        <f t="shared" si="19"/>
        <v>0</v>
      </c>
      <c r="H307" s="12">
        <f t="shared" si="22"/>
        <v>0</v>
      </c>
      <c r="I307" s="12">
        <f t="shared" si="20"/>
        <v>0</v>
      </c>
    </row>
    <row r="308" spans="1:9" x14ac:dyDescent="0.3">
      <c r="A308" s="9">
        <v>1</v>
      </c>
      <c r="B308" s="9"/>
      <c r="C308" s="10">
        <v>44256</v>
      </c>
      <c r="D308" s="10">
        <v>44287</v>
      </c>
      <c r="E308" s="11">
        <f t="shared" si="23"/>
        <v>0</v>
      </c>
      <c r="F308" s="12"/>
      <c r="G308" s="12">
        <f t="shared" si="19"/>
        <v>0</v>
      </c>
      <c r="H308" s="12">
        <f t="shared" si="22"/>
        <v>0</v>
      </c>
      <c r="I308" s="12">
        <f t="shared" si="20"/>
        <v>0</v>
      </c>
    </row>
    <row r="309" spans="1:9" x14ac:dyDescent="0.3">
      <c r="A309" s="9">
        <v>2</v>
      </c>
      <c r="B309" s="9"/>
      <c r="C309" s="10">
        <v>44287</v>
      </c>
      <c r="D309" s="10">
        <v>44317</v>
      </c>
      <c r="E309" s="11">
        <f t="shared" si="23"/>
        <v>0</v>
      </c>
      <c r="F309" s="12"/>
      <c r="G309" s="12">
        <f t="shared" si="19"/>
        <v>0</v>
      </c>
      <c r="H309" s="12">
        <f t="shared" si="22"/>
        <v>0</v>
      </c>
      <c r="I309" s="12">
        <f t="shared" si="20"/>
        <v>0</v>
      </c>
    </row>
    <row r="310" spans="1:9" x14ac:dyDescent="0.3">
      <c r="A310" s="9">
        <v>3</v>
      </c>
      <c r="B310" s="9"/>
      <c r="C310" s="10">
        <v>44317</v>
      </c>
      <c r="D310" s="10">
        <v>44348</v>
      </c>
      <c r="E310" s="11">
        <f t="shared" si="23"/>
        <v>0</v>
      </c>
      <c r="F310" s="12"/>
      <c r="G310" s="12">
        <f t="shared" si="19"/>
        <v>0</v>
      </c>
      <c r="H310" s="12">
        <f t="shared" si="22"/>
        <v>0</v>
      </c>
      <c r="I310" s="12">
        <f t="shared" si="20"/>
        <v>0</v>
      </c>
    </row>
    <row r="311" spans="1:9" x14ac:dyDescent="0.3">
      <c r="A311" s="9">
        <v>4</v>
      </c>
      <c r="B311" s="9"/>
      <c r="C311" s="10">
        <v>44348</v>
      </c>
      <c r="D311" s="10">
        <v>44378</v>
      </c>
      <c r="E311" s="11">
        <f t="shared" si="23"/>
        <v>0</v>
      </c>
      <c r="F311" s="12"/>
      <c r="G311" s="12">
        <f t="shared" si="19"/>
        <v>0</v>
      </c>
      <c r="H311" s="12">
        <f t="shared" si="22"/>
        <v>0</v>
      </c>
      <c r="I311" s="12">
        <f t="shared" si="20"/>
        <v>0</v>
      </c>
    </row>
    <row r="312" spans="1:9" x14ac:dyDescent="0.3">
      <c r="A312" s="9">
        <v>5</v>
      </c>
      <c r="B312" s="9"/>
      <c r="C312" s="10">
        <v>44378</v>
      </c>
      <c r="D312" s="10">
        <v>44409</v>
      </c>
      <c r="E312" s="11">
        <f t="shared" si="23"/>
        <v>0</v>
      </c>
      <c r="F312" s="12"/>
      <c r="G312" s="12">
        <f t="shared" si="19"/>
        <v>0</v>
      </c>
      <c r="H312" s="12">
        <f t="shared" si="22"/>
        <v>0</v>
      </c>
      <c r="I312" s="12">
        <f t="shared" si="20"/>
        <v>0</v>
      </c>
    </row>
    <row r="313" spans="1:9" x14ac:dyDescent="0.3">
      <c r="A313" s="9">
        <v>6</v>
      </c>
      <c r="B313" s="9"/>
      <c r="C313" s="10">
        <v>44409</v>
      </c>
      <c r="D313" s="10">
        <v>44440</v>
      </c>
      <c r="E313" s="11">
        <f t="shared" si="23"/>
        <v>0</v>
      </c>
      <c r="F313" s="12"/>
      <c r="G313" s="12">
        <f t="shared" si="19"/>
        <v>0</v>
      </c>
      <c r="H313" s="12">
        <f t="shared" si="22"/>
        <v>0</v>
      </c>
      <c r="I313" s="12">
        <f t="shared" si="20"/>
        <v>0</v>
      </c>
    </row>
    <row r="314" spans="1:9" x14ac:dyDescent="0.3">
      <c r="A314" s="9">
        <v>7</v>
      </c>
      <c r="B314" s="9"/>
      <c r="C314" s="10">
        <v>44440</v>
      </c>
      <c r="D314" s="10">
        <v>44470</v>
      </c>
      <c r="E314" s="11">
        <f t="shared" si="23"/>
        <v>0</v>
      </c>
      <c r="F314" s="12"/>
      <c r="G314" s="12">
        <f t="shared" si="19"/>
        <v>0</v>
      </c>
      <c r="H314" s="12">
        <f t="shared" si="22"/>
        <v>0</v>
      </c>
      <c r="I314" s="12">
        <f t="shared" si="20"/>
        <v>0</v>
      </c>
    </row>
    <row r="315" spans="1:9" x14ac:dyDescent="0.3">
      <c r="A315" s="9">
        <v>8</v>
      </c>
      <c r="B315" s="9"/>
      <c r="C315" s="10">
        <v>44470</v>
      </c>
      <c r="D315" s="10">
        <v>44501</v>
      </c>
      <c r="E315" s="11">
        <f t="shared" si="23"/>
        <v>0</v>
      </c>
      <c r="F315" s="12"/>
      <c r="G315" s="12">
        <f t="shared" si="19"/>
        <v>0</v>
      </c>
      <c r="H315" s="12">
        <f t="shared" si="22"/>
        <v>0</v>
      </c>
      <c r="I315" s="12">
        <f t="shared" si="20"/>
        <v>0</v>
      </c>
    </row>
    <row r="316" spans="1:9" x14ac:dyDescent="0.3">
      <c r="A316" s="9">
        <v>9</v>
      </c>
      <c r="B316" s="9"/>
      <c r="C316" s="10">
        <v>44501</v>
      </c>
      <c r="D316" s="10">
        <v>44531</v>
      </c>
      <c r="E316" s="11">
        <f t="shared" si="23"/>
        <v>0</v>
      </c>
      <c r="F316" s="12"/>
      <c r="G316" s="12">
        <f t="shared" si="19"/>
        <v>0</v>
      </c>
      <c r="H316" s="12">
        <f t="shared" si="22"/>
        <v>0</v>
      </c>
      <c r="I316" s="12">
        <f t="shared" si="20"/>
        <v>0</v>
      </c>
    </row>
    <row r="317" spans="1:9" x14ac:dyDescent="0.3">
      <c r="A317" s="9">
        <v>10</v>
      </c>
      <c r="B317" s="9"/>
      <c r="C317" s="10">
        <v>44531</v>
      </c>
      <c r="D317" s="10">
        <v>44562</v>
      </c>
      <c r="E317" s="11">
        <f t="shared" si="23"/>
        <v>0</v>
      </c>
      <c r="F317" s="12"/>
      <c r="G317" s="12">
        <f t="shared" si="19"/>
        <v>0</v>
      </c>
      <c r="H317" s="12">
        <f t="shared" si="22"/>
        <v>0</v>
      </c>
      <c r="I317" s="12">
        <f t="shared" si="20"/>
        <v>0</v>
      </c>
    </row>
    <row r="318" spans="1:9" x14ac:dyDescent="0.3">
      <c r="A318" s="9">
        <v>11</v>
      </c>
      <c r="B318" s="9"/>
      <c r="C318" s="10">
        <v>44562</v>
      </c>
      <c r="D318" s="10">
        <v>44593</v>
      </c>
      <c r="E318" s="11">
        <f t="shared" si="23"/>
        <v>0</v>
      </c>
      <c r="F318" s="12"/>
      <c r="G318" s="12">
        <f t="shared" si="19"/>
        <v>0</v>
      </c>
      <c r="H318" s="12">
        <f t="shared" si="22"/>
        <v>0</v>
      </c>
      <c r="I318" s="12">
        <f t="shared" si="20"/>
        <v>0</v>
      </c>
    </row>
    <row r="319" spans="1:9" x14ac:dyDescent="0.3">
      <c r="A319" s="9">
        <v>12</v>
      </c>
      <c r="B319" s="17" t="s">
        <v>103</v>
      </c>
      <c r="C319" s="10">
        <v>44593</v>
      </c>
      <c r="D319" s="10">
        <v>44621</v>
      </c>
      <c r="E319" s="11">
        <f t="shared" si="23"/>
        <v>0</v>
      </c>
      <c r="F319" s="12">
        <f>SUM(E308:E319)</f>
        <v>0</v>
      </c>
      <c r="G319" s="12">
        <f t="shared" si="19"/>
        <v>0</v>
      </c>
      <c r="H319" s="12">
        <f t="shared" si="22"/>
        <v>0</v>
      </c>
      <c r="I319" s="12">
        <f t="shared" si="20"/>
        <v>0</v>
      </c>
    </row>
    <row r="320" spans="1:9" x14ac:dyDescent="0.3">
      <c r="A320" s="9">
        <v>1</v>
      </c>
      <c r="B320" s="9"/>
      <c r="C320" s="10">
        <v>44621</v>
      </c>
      <c r="D320" s="10">
        <v>44652</v>
      </c>
      <c r="E320" s="11">
        <f t="shared" si="23"/>
        <v>0</v>
      </c>
      <c r="F320" s="12"/>
      <c r="G320" s="12">
        <f t="shared" si="19"/>
        <v>0</v>
      </c>
      <c r="H320" s="12">
        <f t="shared" si="22"/>
        <v>0</v>
      </c>
      <c r="I320" s="12">
        <f t="shared" si="20"/>
        <v>0</v>
      </c>
    </row>
    <row r="321" spans="1:9" x14ac:dyDescent="0.3">
      <c r="A321" s="9">
        <v>2</v>
      </c>
      <c r="B321" s="9"/>
      <c r="C321" s="10">
        <v>44652</v>
      </c>
      <c r="D321" s="10">
        <v>44682</v>
      </c>
      <c r="E321" s="11">
        <f t="shared" si="23"/>
        <v>0</v>
      </c>
      <c r="F321" s="12"/>
      <c r="G321" s="12">
        <f t="shared" si="19"/>
        <v>0</v>
      </c>
      <c r="H321" s="12">
        <f t="shared" si="22"/>
        <v>0</v>
      </c>
      <c r="I321" s="12">
        <f t="shared" si="20"/>
        <v>0</v>
      </c>
    </row>
    <row r="322" spans="1:9" x14ac:dyDescent="0.3">
      <c r="A322" s="9">
        <v>3</v>
      </c>
      <c r="B322" s="9"/>
      <c r="C322" s="10">
        <v>44682</v>
      </c>
      <c r="D322" s="10">
        <v>44713</v>
      </c>
      <c r="E322" s="11">
        <f t="shared" si="23"/>
        <v>0</v>
      </c>
      <c r="F322" s="12"/>
      <c r="G322" s="12">
        <f t="shared" si="19"/>
        <v>0</v>
      </c>
      <c r="H322" s="12">
        <f t="shared" si="22"/>
        <v>0</v>
      </c>
      <c r="I322" s="12">
        <f t="shared" si="20"/>
        <v>0</v>
      </c>
    </row>
    <row r="323" spans="1:9" x14ac:dyDescent="0.3">
      <c r="A323" s="9">
        <v>4</v>
      </c>
      <c r="B323" s="9"/>
      <c r="C323" s="10">
        <v>44713</v>
      </c>
      <c r="D323" s="10">
        <v>44743</v>
      </c>
      <c r="E323" s="11">
        <f t="shared" si="23"/>
        <v>0</v>
      </c>
      <c r="F323" s="12"/>
      <c r="G323" s="12">
        <f t="shared" si="19"/>
        <v>0</v>
      </c>
      <c r="H323" s="12">
        <f t="shared" si="22"/>
        <v>0</v>
      </c>
      <c r="I323" s="12">
        <f t="shared" si="20"/>
        <v>0</v>
      </c>
    </row>
    <row r="324" spans="1:9" x14ac:dyDescent="0.3">
      <c r="A324" s="9">
        <v>5</v>
      </c>
      <c r="B324" s="9"/>
      <c r="C324" s="10">
        <v>44743</v>
      </c>
      <c r="D324" s="10">
        <v>44774</v>
      </c>
      <c r="E324" s="11">
        <f t="shared" si="23"/>
        <v>0</v>
      </c>
      <c r="F324" s="12"/>
      <c r="G324" s="12">
        <f t="shared" ref="G324:G331" si="24">ROUND(E324*8.33%,0)</f>
        <v>0</v>
      </c>
      <c r="H324" s="12">
        <f t="shared" si="22"/>
        <v>0</v>
      </c>
      <c r="I324" s="12">
        <f t="shared" si="20"/>
        <v>0</v>
      </c>
    </row>
    <row r="325" spans="1:9" x14ac:dyDescent="0.3">
      <c r="A325" s="9">
        <v>6</v>
      </c>
      <c r="B325" s="9"/>
      <c r="C325" s="10">
        <v>44774</v>
      </c>
      <c r="D325" s="10">
        <v>44805</v>
      </c>
      <c r="E325" s="11">
        <f t="shared" si="23"/>
        <v>0</v>
      </c>
      <c r="F325" s="12"/>
      <c r="G325" s="12">
        <f t="shared" si="24"/>
        <v>0</v>
      </c>
      <c r="H325" s="12">
        <f t="shared" si="22"/>
        <v>0</v>
      </c>
      <c r="I325" s="12">
        <f t="shared" ref="I325:I331" si="25">MAX(G325-H325,0)</f>
        <v>0</v>
      </c>
    </row>
    <row r="326" spans="1:9" x14ac:dyDescent="0.3">
      <c r="A326" s="9">
        <v>7</v>
      </c>
      <c r="B326" s="9"/>
      <c r="C326" s="10">
        <v>44805</v>
      </c>
      <c r="D326" s="10">
        <v>44835</v>
      </c>
      <c r="E326" s="11">
        <f t="shared" si="23"/>
        <v>0</v>
      </c>
      <c r="F326" s="12"/>
      <c r="G326" s="12">
        <f t="shared" si="24"/>
        <v>0</v>
      </c>
      <c r="H326" s="12">
        <f t="shared" si="22"/>
        <v>0</v>
      </c>
      <c r="I326" s="12">
        <f t="shared" si="25"/>
        <v>0</v>
      </c>
    </row>
    <row r="327" spans="1:9" x14ac:dyDescent="0.3">
      <c r="A327" s="9">
        <v>8</v>
      </c>
      <c r="B327" s="9"/>
      <c r="C327" s="10">
        <v>44835</v>
      </c>
      <c r="D327" s="10">
        <v>44866</v>
      </c>
      <c r="E327" s="11">
        <f t="shared" si="23"/>
        <v>0</v>
      </c>
      <c r="F327" s="12"/>
      <c r="G327" s="12">
        <f t="shared" si="24"/>
        <v>0</v>
      </c>
      <c r="H327" s="12">
        <f t="shared" si="22"/>
        <v>0</v>
      </c>
      <c r="I327" s="12">
        <f t="shared" si="25"/>
        <v>0</v>
      </c>
    </row>
    <row r="328" spans="1:9" x14ac:dyDescent="0.3">
      <c r="A328" s="9">
        <v>9</v>
      </c>
      <c r="B328" s="9"/>
      <c r="C328" s="10">
        <v>44866</v>
      </c>
      <c r="D328" s="10">
        <v>44896</v>
      </c>
      <c r="E328" s="11">
        <f t="shared" si="23"/>
        <v>0</v>
      </c>
      <c r="F328" s="12"/>
      <c r="G328" s="12">
        <f t="shared" si="24"/>
        <v>0</v>
      </c>
      <c r="H328" s="12">
        <f t="shared" si="22"/>
        <v>0</v>
      </c>
      <c r="I328" s="12">
        <f t="shared" si="25"/>
        <v>0</v>
      </c>
    </row>
    <row r="329" spans="1:9" x14ac:dyDescent="0.3">
      <c r="A329" s="9">
        <v>10</v>
      </c>
      <c r="B329" s="9"/>
      <c r="C329" s="10">
        <v>44896</v>
      </c>
      <c r="D329" s="10">
        <v>44927</v>
      </c>
      <c r="E329" s="11">
        <f t="shared" si="23"/>
        <v>0</v>
      </c>
      <c r="F329" s="12"/>
      <c r="G329" s="12">
        <f t="shared" si="24"/>
        <v>0</v>
      </c>
      <c r="H329" s="12">
        <f t="shared" si="22"/>
        <v>0</v>
      </c>
      <c r="I329" s="12">
        <f t="shared" si="25"/>
        <v>0</v>
      </c>
    </row>
    <row r="330" spans="1:9" x14ac:dyDescent="0.3">
      <c r="A330" s="9">
        <v>11</v>
      </c>
      <c r="B330" s="9"/>
      <c r="C330" s="10">
        <v>44927</v>
      </c>
      <c r="D330" s="10">
        <v>44958</v>
      </c>
      <c r="E330" s="11">
        <f t="shared" si="23"/>
        <v>0</v>
      </c>
      <c r="F330" s="12"/>
      <c r="G330" s="12">
        <f t="shared" si="24"/>
        <v>0</v>
      </c>
      <c r="H330" s="12">
        <f t="shared" si="22"/>
        <v>0</v>
      </c>
      <c r="I330" s="12">
        <f t="shared" si="25"/>
        <v>0</v>
      </c>
    </row>
    <row r="331" spans="1:9" x14ac:dyDescent="0.3">
      <c r="A331" s="9">
        <v>12</v>
      </c>
      <c r="B331" s="17" t="s">
        <v>104</v>
      </c>
      <c r="C331" s="10">
        <v>44958</v>
      </c>
      <c r="D331" s="10">
        <v>44986</v>
      </c>
      <c r="E331" s="11">
        <f t="shared" si="23"/>
        <v>0</v>
      </c>
      <c r="F331" s="12">
        <f>SUM(E320:E331)</f>
        <v>0</v>
      </c>
      <c r="G331" s="12">
        <f t="shared" si="24"/>
        <v>0</v>
      </c>
      <c r="H331" s="12">
        <f t="shared" si="22"/>
        <v>0</v>
      </c>
      <c r="I331" s="12">
        <f t="shared" si="25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showGridLines="0" tabSelected="1" zoomScale="90" zoomScaleNormal="90" workbookViewId="0">
      <selection activeCell="B1" sqref="B1"/>
    </sheetView>
  </sheetViews>
  <sheetFormatPr defaultRowHeight="14.4" x14ac:dyDescent="0.3"/>
  <cols>
    <col min="1" max="1" width="33" bestFit="1" customWidth="1"/>
    <col min="2" max="3" width="17.44140625" style="53" bestFit="1" customWidth="1"/>
    <col min="5" max="5" width="17.44140625" style="53" bestFit="1" customWidth="1"/>
    <col min="6" max="6" width="11.44140625" bestFit="1" customWidth="1"/>
    <col min="8" max="8" width="16.33203125" bestFit="1" customWidth="1"/>
  </cols>
  <sheetData>
    <row r="1" spans="1:3" x14ac:dyDescent="0.3">
      <c r="A1" s="56" t="s">
        <v>105</v>
      </c>
      <c r="B1" s="59">
        <v>3550000</v>
      </c>
    </row>
    <row r="3" spans="1:3" x14ac:dyDescent="0.3">
      <c r="A3" s="54" t="s">
        <v>109</v>
      </c>
      <c r="B3" s="20">
        <v>6856</v>
      </c>
    </row>
    <row r="4" spans="1:3" x14ac:dyDescent="0.3">
      <c r="A4" s="54" t="s">
        <v>108</v>
      </c>
      <c r="B4" s="20">
        <v>1919</v>
      </c>
    </row>
    <row r="5" spans="1:3" x14ac:dyDescent="0.3">
      <c r="A5" s="54" t="s">
        <v>110</v>
      </c>
      <c r="B5" s="20">
        <f>365*2</f>
        <v>730</v>
      </c>
    </row>
    <row r="7" spans="1:3" x14ac:dyDescent="0.3">
      <c r="B7" s="58" t="s">
        <v>116</v>
      </c>
      <c r="C7" s="58" t="s">
        <v>117</v>
      </c>
    </row>
    <row r="8" spans="1:3" x14ac:dyDescent="0.3">
      <c r="A8" s="58" t="s">
        <v>114</v>
      </c>
      <c r="B8" s="41">
        <v>99354</v>
      </c>
      <c r="C8" s="20">
        <v>100447</v>
      </c>
    </row>
    <row r="9" spans="1:3" x14ac:dyDescent="0.3">
      <c r="A9" s="58" t="s">
        <v>115</v>
      </c>
      <c r="B9" s="41">
        <v>141715</v>
      </c>
      <c r="C9" s="41">
        <v>142964</v>
      </c>
    </row>
    <row r="10" spans="1:3" x14ac:dyDescent="0.3">
      <c r="B10"/>
      <c r="C10"/>
    </row>
    <row r="11" spans="1:3" x14ac:dyDescent="0.3">
      <c r="A11" s="57" t="s">
        <v>113</v>
      </c>
      <c r="B11" s="58" t="s">
        <v>111</v>
      </c>
      <c r="C11" s="58" t="s">
        <v>13</v>
      </c>
    </row>
    <row r="12" spans="1:3" x14ac:dyDescent="0.3">
      <c r="A12" s="14" t="s">
        <v>112</v>
      </c>
      <c r="B12" s="20" t="s">
        <v>118</v>
      </c>
      <c r="C12" s="20">
        <v>520</v>
      </c>
    </row>
    <row r="13" spans="1:3" x14ac:dyDescent="0.3">
      <c r="A13" s="14" t="s">
        <v>106</v>
      </c>
      <c r="B13" s="41">
        <f>B8</f>
        <v>99354</v>
      </c>
      <c r="C13" s="20">
        <f>B13*(B3+B5)/(70*365)</f>
        <v>29498.99976516634</v>
      </c>
    </row>
    <row r="14" spans="1:3" x14ac:dyDescent="0.3">
      <c r="A14" s="14" t="s">
        <v>107</v>
      </c>
      <c r="B14" s="41">
        <f>B9</f>
        <v>141715</v>
      </c>
      <c r="C14" s="20">
        <f>B14*(B4)/(70*365)</f>
        <v>10643.878082191781</v>
      </c>
    </row>
    <row r="15" spans="1:3" x14ac:dyDescent="0.3">
      <c r="A15" s="1"/>
      <c r="C15" s="59">
        <f>SUM(C12:C14)</f>
        <v>40662.877847358119</v>
      </c>
    </row>
    <row r="17" spans="1:5" x14ac:dyDescent="0.3">
      <c r="A17" s="60" t="s">
        <v>119</v>
      </c>
      <c r="B17" s="41">
        <f>C15</f>
        <v>40662.877847358119</v>
      </c>
    </row>
    <row r="18" spans="1:5" x14ac:dyDescent="0.3">
      <c r="A18" s="60" t="s">
        <v>120</v>
      </c>
      <c r="B18" s="41">
        <v>3617</v>
      </c>
    </row>
    <row r="19" spans="1:5" x14ac:dyDescent="0.3">
      <c r="A19" s="60" t="s">
        <v>121</v>
      </c>
      <c r="B19" s="61">
        <f>B17-B18</f>
        <v>37045.877847358119</v>
      </c>
    </row>
    <row r="21" spans="1:5" x14ac:dyDescent="0.3">
      <c r="A21" s="57" t="s">
        <v>122</v>
      </c>
      <c r="B21" s="59">
        <f>B19*58</f>
        <v>2148660.9151467709</v>
      </c>
    </row>
    <row r="23" spans="1:5" x14ac:dyDescent="0.3">
      <c r="A23" s="62" t="s">
        <v>54</v>
      </c>
      <c r="B23" s="20">
        <f>400000*5%</f>
        <v>20000</v>
      </c>
      <c r="C23"/>
      <c r="D23" s="53"/>
      <c r="E23">
        <v>1</v>
      </c>
    </row>
    <row r="24" spans="1:5" x14ac:dyDescent="0.3">
      <c r="A24" s="62" t="s">
        <v>55</v>
      </c>
      <c r="B24" s="20">
        <f>300000*10%</f>
        <v>30000</v>
      </c>
      <c r="C24"/>
      <c r="D24" s="53"/>
      <c r="E24"/>
    </row>
    <row r="25" spans="1:5" x14ac:dyDescent="0.3">
      <c r="A25" s="62" t="s">
        <v>56</v>
      </c>
      <c r="B25" s="20">
        <f>200000*15%</f>
        <v>30000</v>
      </c>
      <c r="C25"/>
      <c r="D25" s="53"/>
      <c r="E25"/>
    </row>
    <row r="26" spans="1:5" x14ac:dyDescent="0.3">
      <c r="A26" s="62" t="s">
        <v>57</v>
      </c>
      <c r="B26" s="20">
        <f>300000*20%</f>
        <v>60000</v>
      </c>
      <c r="C26"/>
      <c r="D26" s="53"/>
      <c r="E26"/>
    </row>
    <row r="27" spans="1:5" x14ac:dyDescent="0.3">
      <c r="A27" s="62" t="s">
        <v>58</v>
      </c>
      <c r="B27" s="20">
        <f>(B21-1500000)*30%</f>
        <v>194598.27454403127</v>
      </c>
      <c r="C27"/>
      <c r="D27" s="53"/>
      <c r="E27"/>
    </row>
    <row r="28" spans="1:5" x14ac:dyDescent="0.3">
      <c r="A28" s="54" t="s">
        <v>59</v>
      </c>
      <c r="B28" s="20">
        <f>SUM(B23:B27)</f>
        <v>334598.27454403124</v>
      </c>
      <c r="C28"/>
      <c r="D28" s="53"/>
      <c r="E28"/>
    </row>
    <row r="29" spans="1:5" x14ac:dyDescent="0.3">
      <c r="A29" s="63" t="s">
        <v>61</v>
      </c>
      <c r="B29" s="20">
        <f>B28*4%</f>
        <v>13383.93098176125</v>
      </c>
      <c r="C29"/>
      <c r="D29" s="53"/>
      <c r="E29"/>
    </row>
    <row r="30" spans="1:5" x14ac:dyDescent="0.3">
      <c r="A30" s="64" t="s">
        <v>62</v>
      </c>
      <c r="B30" s="21">
        <f>B28+B29</f>
        <v>347982.20552579249</v>
      </c>
      <c r="C30"/>
      <c r="D30" s="53"/>
      <c r="E30"/>
    </row>
    <row r="32" spans="1:5" x14ac:dyDescent="0.3">
      <c r="A32" s="56" t="s">
        <v>123</v>
      </c>
      <c r="B32" s="59">
        <f>B21-B30</f>
        <v>1800678.7096209785</v>
      </c>
    </row>
    <row r="34" spans="1:2" x14ac:dyDescent="0.3">
      <c r="A34" s="55" t="s">
        <v>124</v>
      </c>
      <c r="B34" s="61">
        <f>B1-B32</f>
        <v>1749321.2903790215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Pension_calculation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ts_bawa ts_bawa</dc:creator>
  <cp:lastModifiedBy>ts_bawa ts_bawa</cp:lastModifiedBy>
  <dcterms:created xsi:type="dcterms:W3CDTF">2024-08-16T10:09:35Z</dcterms:created>
  <dcterms:modified xsi:type="dcterms:W3CDTF">2024-08-16T10:56:47Z</dcterms:modified>
</cp:coreProperties>
</file>