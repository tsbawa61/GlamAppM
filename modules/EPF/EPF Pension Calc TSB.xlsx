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22980" windowHeight="9816"/>
  </bookViews>
  <sheets>
    <sheet name="TSB" sheetId="1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C6" i="1" l="1"/>
  <c r="C7" i="1" s="1"/>
  <c r="J6" i="1"/>
  <c r="J7" i="1" s="1"/>
  <c r="J8" i="1" s="1"/>
  <c r="F4" i="1"/>
  <c r="J11" i="1" s="1"/>
  <c r="C3" i="1"/>
  <c r="F6" i="1" l="1"/>
  <c r="J9" i="1"/>
  <c r="J13" i="1" s="1"/>
  <c r="J14" i="1" s="1"/>
  <c r="J15" i="1" s="1"/>
  <c r="C8" i="1"/>
  <c r="C9" i="1" s="1"/>
  <c r="F8" i="1" l="1"/>
  <c r="F9" i="1" s="1"/>
  <c r="F10" i="1" s="1"/>
</calcChain>
</file>

<file path=xl/sharedStrings.xml><?xml version="1.0" encoding="utf-8"?>
<sst xmlns="http://schemas.openxmlformats.org/spreadsheetml/2006/main" count="24" uniqueCount="16">
  <si>
    <t>Amount 4.5 Years</t>
  </si>
  <si>
    <t xml:space="preserve">FD Interest Per Month </t>
  </si>
  <si>
    <t>No of Months Reqd to Recover Rs 33 Lakh</t>
  </si>
  <si>
    <t>No of Years Reqd to Recover Rs 33 Lakh</t>
  </si>
  <si>
    <t>Balance Amount to Be Recovered From Pension</t>
  </si>
  <si>
    <t>Difference of Pension and FD Interest</t>
  </si>
  <si>
    <t>Scenario2</t>
  </si>
  <si>
    <t>Excess Pension Received wrt Original Pension Per Month</t>
  </si>
  <si>
    <t>Arrears Received Yearly</t>
  </si>
  <si>
    <t>Arrears Received in 4.5 Years</t>
  </si>
  <si>
    <t xml:space="preserve">Income Tax Paid @30% </t>
  </si>
  <si>
    <t xml:space="preserve">Net Arrears Received </t>
  </si>
  <si>
    <t>EPF Pension Calculation</t>
  </si>
  <si>
    <t>EPF Higher Pension As Per Govt Rule</t>
  </si>
  <si>
    <t>Total Amount To Be Given To EPF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</si>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</sst>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/>
    </xf>
    <xf numFmtId="164" fontId="0" fillId="0" borderId="0" xfId="1" applyNumberFormat="1" applyFont="1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right" vertical="top"/>
    </xf>
    <xf numFmtId="164" fontId="0" fillId="0" borderId="1" xfId="1" applyNumberFormat="1" applyFont="1" applyBorder="1" applyAlignment="1">
      <alignment vertical="top"/>
    </xf>
    <xf numFmtId="0" fontId="0" fillId="0" borderId="1" xfId="0" applyFont="1" applyBorder="1" applyAlignment="1">
      <alignment horizontal="right" vertical="top"/>
    </xf>
    <xf numFmtId="41" fontId="0" fillId="0" borderId="1" xfId="1" applyNumberFormat="1" applyFont="1" applyBorder="1" applyAlignment="1">
      <alignment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right" vertical="top" wrapText="1"/>
    </xf>
    <xf numFmtId="164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0" fontId="2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164" fontId="5" fillId="0" borderId="1" xfId="1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1" xfId="0" applyFont="1" applyBorder="1" applyAlignment="1">
      <alignment horizontal="right" vertical="top" wrapText="1"/>
    </xf>
    <xf numFmtId="164" fontId="3" fillId="0" borderId="1" xfId="1" applyNumberFormat="1" applyFont="1" applyBorder="1" applyAlignment="1">
      <alignment vertical="top"/>
    </xf>
    <xf numFmtId="0" fontId="3" fillId="0" borderId="1" xfId="0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E15" sqref="E15"/>
    </sheetView>
  </sheetViews>
  <sheetFormatPr defaultRowHeight="14.4" x14ac:dyDescent="0.3"/>
  <cols>
    <col min="1" max="1" width="8.88671875" style="1"/>
    <col min="2" max="2" width="26" style="3" customWidth="1"/>
    <col min="3" max="3" width="11.33203125" style="2" customWidth="1"/>
    <col min="4" max="4" width="10.6640625" style="1" customWidth="1"/>
    <col min="5" max="5" width="33.77734375" style="3" customWidth="1"/>
    <col min="6" max="6" width="11" style="2" bestFit="1" customWidth="1"/>
    <col min="7" max="8" width="8.88671875" style="1"/>
    <col min="9" max="9" width="29.6640625" style="1" customWidth="1"/>
    <col min="10" max="10" width="9.77734375" style="1" bestFit="1" customWidth="1"/>
    <col min="11" max="16384" width="8.88671875" style="1"/>
  </cols>
  <sheetData>
    <row r="1" spans="1:10" ht="18" x14ac:dyDescent="0.3">
      <c r="D1" s="19" t="s">
        <v>12</v>
      </c>
      <c r="E1" s="1"/>
      <c r="F1" s="1"/>
    </row>
    <row r="2" spans="1:10" x14ac:dyDescent="0.3">
      <c r="B2" s="1"/>
      <c r="C2" s="1"/>
      <c r="E2" s="1"/>
      <c r="F2" s="1"/>
    </row>
    <row r="3" spans="1:10" ht="31.2" x14ac:dyDescent="0.3">
      <c r="A3" s="4"/>
      <c r="B3" s="20" t="s">
        <v>13</v>
      </c>
      <c r="C3" s="21">
        <f>152000*26/70</f>
        <v>56457.142857142855</v>
      </c>
      <c r="E3" s="22" t="s">
        <v>14</v>
      </c>
      <c r="F3" s="21">
        <v>3300000</v>
      </c>
      <c r="H3" s="17"/>
      <c r="I3" s="18" t="s">
        <v>6</v>
      </c>
    </row>
    <row r="4" spans="1:10" x14ac:dyDescent="0.3">
      <c r="C4" s="1"/>
      <c r="E4" s="15" t="s">
        <v>1</v>
      </c>
      <c r="F4" s="16">
        <f>ROUND(272026/12,0)</f>
        <v>22669</v>
      </c>
      <c r="H4" s="17"/>
    </row>
    <row r="5" spans="1:10" ht="28.8" x14ac:dyDescent="0.3">
      <c r="B5" s="14" t="s">
        <v>7</v>
      </c>
      <c r="C5" s="13">
        <v>50000</v>
      </c>
      <c r="E5" s="1"/>
      <c r="F5" s="1"/>
      <c r="H5" s="17"/>
      <c r="I5" s="14" t="s">
        <v>7</v>
      </c>
      <c r="J5" s="13">
        <v>33000</v>
      </c>
    </row>
    <row r="6" spans="1:10" x14ac:dyDescent="0.3">
      <c r="B6" s="7" t="s">
        <v>8</v>
      </c>
      <c r="C6" s="8">
        <f>C5*12</f>
        <v>600000</v>
      </c>
      <c r="E6" s="10" t="s">
        <v>5</v>
      </c>
      <c r="F6" s="6">
        <f>C3-F4</f>
        <v>33788.142857142855</v>
      </c>
      <c r="I6" s="7" t="s">
        <v>8</v>
      </c>
      <c r="J6" s="8">
        <f>J5*12</f>
        <v>396000</v>
      </c>
    </row>
    <row r="7" spans="1:10" x14ac:dyDescent="0.3">
      <c r="A7" s="4"/>
      <c r="B7" s="10" t="s">
        <v>0</v>
      </c>
      <c r="C7" s="6">
        <f>C6*4.5</f>
        <v>2700000</v>
      </c>
      <c r="E7" s="4"/>
      <c r="F7" s="4"/>
      <c r="I7" s="5" t="s">
        <v>9</v>
      </c>
      <c r="J7" s="6">
        <f>J6*4.5</f>
        <v>1782000</v>
      </c>
    </row>
    <row r="8" spans="1:10" ht="28.8" x14ac:dyDescent="0.3">
      <c r="B8" s="5" t="s">
        <v>10</v>
      </c>
      <c r="C8" s="6">
        <f>C7*0.3</f>
        <v>810000</v>
      </c>
      <c r="E8" s="10" t="s">
        <v>4</v>
      </c>
      <c r="F8" s="6">
        <f>F3-C9</f>
        <v>1410000</v>
      </c>
      <c r="I8" s="5" t="s">
        <v>10</v>
      </c>
      <c r="J8" s="6">
        <f>J7*0.3</f>
        <v>534600</v>
      </c>
    </row>
    <row r="9" spans="1:10" ht="28.8" x14ac:dyDescent="0.3">
      <c r="B9" s="5" t="s">
        <v>11</v>
      </c>
      <c r="C9" s="6">
        <f>C7-C8</f>
        <v>1890000</v>
      </c>
      <c r="E9" s="10" t="s">
        <v>2</v>
      </c>
      <c r="F9" s="6">
        <f>F8/F6</f>
        <v>41.730615558289685</v>
      </c>
      <c r="I9" s="5" t="s">
        <v>11</v>
      </c>
      <c r="J9" s="6">
        <f>J7-J8</f>
        <v>1247400</v>
      </c>
    </row>
    <row r="10" spans="1:10" ht="28.8" x14ac:dyDescent="0.3">
      <c r="E10" s="10" t="s">
        <v>3</v>
      </c>
      <c r="F10" s="6">
        <f>CEILING(F9/12,1)</f>
        <v>4</v>
      </c>
      <c r="I10" s="9"/>
    </row>
    <row r="11" spans="1:10" ht="28.8" x14ac:dyDescent="0.3">
      <c r="E11" s="1"/>
      <c r="F11" s="1"/>
      <c r="I11" s="10" t="s">
        <v>5</v>
      </c>
      <c r="J11" s="11">
        <f>ROUND(J5-F4,-3)</f>
        <v>10000</v>
      </c>
    </row>
    <row r="12" spans="1:10" x14ac:dyDescent="0.3">
      <c r="I12" s="5"/>
      <c r="J12" s="4"/>
    </row>
    <row r="13" spans="1:10" ht="28.8" x14ac:dyDescent="0.3">
      <c r="I13" s="10" t="s">
        <v>4</v>
      </c>
      <c r="J13" s="11">
        <f>F3-J9</f>
        <v>2052600</v>
      </c>
    </row>
    <row r="14" spans="1:10" ht="28.8" x14ac:dyDescent="0.3">
      <c r="E14" s="3" t="s">
        <v>15</v>
      </c>
      <c r="I14" s="10" t="s">
        <v>2</v>
      </c>
      <c r="J14" s="12">
        <f>J13/J11</f>
        <v>205.26</v>
      </c>
    </row>
    <row r="15" spans="1:10" ht="28.8" x14ac:dyDescent="0.3">
      <c r="I15" s="10" t="s">
        <v>3</v>
      </c>
      <c r="J15" s="12">
        <f>J14/12</f>
        <v>17.105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9" sqref="B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TSB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ts_bawa ts_bawa</dc:creator>
  <cp:lastModifiedBy>ts_bawa ts_bawa</cp:lastModifiedBy>
  <dcterms:created xsi:type="dcterms:W3CDTF">2024-04-24T09:00:47Z</dcterms:created>
  <dcterms:modified xsi:type="dcterms:W3CDTF">2024-07-08T08:41:12Z</dcterms:modified>
</cp:coreProperties>
</file>