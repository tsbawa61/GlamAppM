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TSB" sheetId="5" r:id="rId1"/>
    <sheet name="Anita Goyal" sheetId="3" r:id="rId2"/>
    <sheet name="Sheet4" sheetId="4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5" l="1"/>
  <c r="C22" i="5" s="1"/>
  <c r="B15" i="5"/>
  <c r="B22" i="5" s="1"/>
  <c r="B11" i="5"/>
  <c r="C21" i="5" s="1"/>
  <c r="B7" i="5"/>
  <c r="B9" i="5" s="1"/>
  <c r="B21" i="5" s="1"/>
  <c r="B23" i="5" l="1"/>
  <c r="C23" i="5"/>
  <c r="B24" i="5" s="1"/>
  <c r="C23" i="3"/>
  <c r="A25" i="4" a="1"/>
  <c r="A25" i="4" s="1"/>
  <c r="B7" i="3"/>
  <c r="B9" i="3" s="1"/>
  <c r="B21" i="3" s="1"/>
  <c r="B23" i="3" s="1"/>
  <c r="B24" i="3" s="1"/>
  <c r="B18" i="3"/>
  <c r="C22" i="3" s="1"/>
  <c r="B15" i="3"/>
  <c r="B22" i="3" s="1"/>
  <c r="B11" i="3"/>
  <c r="C21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<sst xmlns="http://schemas.openxmlformats.org/spreadsheetml/2006/main" count="40" uniqueCount="20">
  <si>
    <t>Date of Joining EPS</t>
  </si>
  <si>
    <t>Date if Ceiling Change</t>
  </si>
  <si>
    <t>Date of Exit from EPS</t>
  </si>
  <si>
    <t>Actual Pensionable Service Between DOJ-EPS and 31-Aug-2014</t>
  </si>
  <si>
    <t>Bonus 2 Years for Service More than 20 years</t>
  </si>
  <si>
    <t>Total Pensionable Serice Days Prior to 01-Sep-2014</t>
  </si>
  <si>
    <t>58 years of Age</t>
  </si>
  <si>
    <t>Actual Pensionable Service Between 01-Sep-2014 and DOE-EPS</t>
  </si>
  <si>
    <t>AVG Pensionable Salary of Last 60 Months</t>
  </si>
  <si>
    <t>Maximum Pensionable Salary Prior to 01-Sep-2014</t>
  </si>
  <si>
    <t>Salary to be Considered Prior to 01-Sep-2014 (Lower one)</t>
  </si>
  <si>
    <t>Maximum Pensionable Salary After 01-Sep-2014</t>
  </si>
  <si>
    <t>Salary to be Considered after 01-Sep-2014 (Lower one)</t>
  </si>
  <si>
    <t>Pensionable Salary</t>
  </si>
  <si>
    <t>Pensionable Service Period</t>
  </si>
  <si>
    <t>Part-1 Before 01.09.2014</t>
  </si>
  <si>
    <t>Part-2 After 01.09.2014</t>
  </si>
  <si>
    <t>Pension as per EPFO 14.02.2024</t>
  </si>
  <si>
    <t>Net Pension</t>
  </si>
  <si>
    <t>Name: Anita Goyal (NIELIT Chandigarh)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</si>
</sst>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/>
    <xf numFmtId="15" fontId="0" fillId="2" borderId="0" xfId="0" applyNumberFormat="1" applyFill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3" borderId="9" xfId="0" applyFill="1" applyBorder="1" applyAlignment="1">
      <alignment horizontal="right"/>
    </xf>
    <xf numFmtId="0" fontId="1" fillId="0" borderId="0" xfId="0" applyFont="1"/>
    <xf numFmtId="0" fontId="0" fillId="0" borderId="9" xfId="0" applyBorder="1" applyAlignment="1">
      <alignment horizontal="center" wrapText="1"/>
    </xf>
    <xf numFmtId="0" fontId="1" fillId="3" borderId="9" xfId="0" applyFont="1" applyFill="1" applyBorder="1" applyAlignment="1">
      <alignment horizontal="center"/>
    </xf>
    <xf numFmtId="1" fontId="0" fillId="0" borderId="2" xfId="0" applyNumberFormat="1" applyBorder="1"/>
    <xf numFmtId="164" fontId="0" fillId="0" borderId="6" xfId="0" applyNumberFormat="1" applyBorder="1"/>
    <xf numFmtId="1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C22" sqref="C22"/>
    </sheetView>
  </sheetViews>
  <sheetFormatPr defaultRowHeight="14.4" x14ac:dyDescent="0.3"/>
  <cols>
    <col min="1" max="1" width="57.6640625" customWidth="1"/>
    <col min="2" max="2" width="15.88671875" customWidth="1"/>
    <col min="3" max="3" width="13.5546875" customWidth="1"/>
  </cols>
  <sheetData>
    <row r="1" spans="1:3" x14ac:dyDescent="0.3">
      <c r="A1" s="14" t="s">
        <v>19</v>
      </c>
    </row>
    <row r="2" spans="1:3" x14ac:dyDescent="0.3">
      <c r="A2" t="s">
        <v>0</v>
      </c>
      <c r="B2" s="9">
        <v>35019</v>
      </c>
    </row>
    <row r="3" spans="1:3" x14ac:dyDescent="0.3">
      <c r="A3" t="s">
        <v>1</v>
      </c>
      <c r="B3" s="1">
        <v>41883</v>
      </c>
    </row>
    <row r="4" spans="1:3" x14ac:dyDescent="0.3">
      <c r="A4" t="s">
        <v>2</v>
      </c>
      <c r="B4" s="9">
        <v>43830</v>
      </c>
      <c r="C4" t="s">
        <v>6</v>
      </c>
    </row>
    <row r="5" spans="1:3" x14ac:dyDescent="0.3">
      <c r="B5" s="1"/>
    </row>
    <row r="6" spans="1:3" ht="15" thickBot="1" x14ac:dyDescent="0.35"/>
    <row r="7" spans="1:3" x14ac:dyDescent="0.3">
      <c r="A7" s="3" t="s">
        <v>3</v>
      </c>
      <c r="B7" s="4">
        <f>B3-B2</f>
        <v>6864</v>
      </c>
    </row>
    <row r="8" spans="1:3" x14ac:dyDescent="0.3">
      <c r="A8" s="5" t="s">
        <v>4</v>
      </c>
      <c r="B8" s="6">
        <v>730</v>
      </c>
    </row>
    <row r="9" spans="1:3" ht="15" thickBot="1" x14ac:dyDescent="0.35">
      <c r="A9" s="7" t="s">
        <v>5</v>
      </c>
      <c r="B9" s="8">
        <f>B7+B8</f>
        <v>7594</v>
      </c>
    </row>
    <row r="10" spans="1:3" ht="15" thickBot="1" x14ac:dyDescent="0.35">
      <c r="A10" s="2"/>
    </row>
    <row r="11" spans="1:3" ht="15" thickBot="1" x14ac:dyDescent="0.35">
      <c r="A11" s="10" t="s">
        <v>7</v>
      </c>
      <c r="B11" s="11">
        <f>B4-B3</f>
        <v>1947</v>
      </c>
    </row>
    <row r="12" spans="1:3" ht="15" thickBot="1" x14ac:dyDescent="0.35"/>
    <row r="13" spans="1:3" x14ac:dyDescent="0.3">
      <c r="A13" s="3" t="s">
        <v>8</v>
      </c>
      <c r="B13" s="17">
        <v>142963.85</v>
      </c>
    </row>
    <row r="14" spans="1:3" x14ac:dyDescent="0.3">
      <c r="A14" s="5" t="s">
        <v>9</v>
      </c>
      <c r="B14" s="6">
        <v>103820</v>
      </c>
    </row>
    <row r="15" spans="1:3" ht="15" thickBot="1" x14ac:dyDescent="0.35">
      <c r="A15" s="7" t="s">
        <v>10</v>
      </c>
      <c r="B15" s="8">
        <f>MIN(B13:B14)</f>
        <v>103820</v>
      </c>
    </row>
    <row r="16" spans="1:3" ht="15" thickBot="1" x14ac:dyDescent="0.35"/>
    <row r="17" spans="1:3" x14ac:dyDescent="0.3">
      <c r="A17" s="3" t="s">
        <v>11</v>
      </c>
      <c r="B17" s="4">
        <v>182403</v>
      </c>
    </row>
    <row r="18" spans="1:3" ht="15" thickBot="1" x14ac:dyDescent="0.35">
      <c r="A18" s="7" t="s">
        <v>12</v>
      </c>
      <c r="B18" s="18">
        <f>MIN(B17,B13)</f>
        <v>142963.85</v>
      </c>
    </row>
    <row r="20" spans="1:3" ht="28.8" x14ac:dyDescent="0.3">
      <c r="A20" s="12"/>
      <c r="B20" s="15" t="s">
        <v>15</v>
      </c>
      <c r="C20" s="15" t="s">
        <v>16</v>
      </c>
    </row>
    <row r="21" spans="1:3" x14ac:dyDescent="0.3">
      <c r="A21" s="12" t="s">
        <v>14</v>
      </c>
      <c r="B21" s="12">
        <f>B9</f>
        <v>7594</v>
      </c>
      <c r="C21" s="12">
        <f>B11</f>
        <v>1947</v>
      </c>
    </row>
    <row r="22" spans="1:3" x14ac:dyDescent="0.3">
      <c r="A22" s="12" t="s">
        <v>13</v>
      </c>
      <c r="B22" s="12">
        <f>B15</f>
        <v>103820</v>
      </c>
      <c r="C22" s="19">
        <f>B18</f>
        <v>142963.85</v>
      </c>
    </row>
    <row r="23" spans="1:3" x14ac:dyDescent="0.3">
      <c r="A23" s="12" t="s">
        <v>17</v>
      </c>
      <c r="B23" s="12">
        <f>ROUND((B21*B22)/(70*365),0)</f>
        <v>30857</v>
      </c>
      <c r="C23" s="12">
        <f>ROUND((C21*C22)/(70*365),0)</f>
        <v>10894</v>
      </c>
    </row>
    <row r="24" spans="1:3" x14ac:dyDescent="0.3">
      <c r="A24" s="13" t="s">
        <v>18</v>
      </c>
      <c r="B24" s="16">
        <f>SUM(B23:C23)</f>
        <v>41751</v>
      </c>
      <c r="C24" s="16"/>
    </row>
  </sheetData>
  <mergeCells count="1">
    <mergeCell ref="B24:C2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B29" sqref="B29"/>
    </sheetView>
  </sheetViews>
  <sheetFormatPr defaultRowHeight="14.4" x14ac:dyDescent="0.3"/>
  <cols>
    <col min="1" max="1" width="57.6640625" customWidth="1"/>
    <col min="2" max="2" width="15.88671875" customWidth="1"/>
    <col min="3" max="3" width="13.5546875" customWidth="1"/>
  </cols>
  <sheetData>
    <row r="1" spans="1:3" ht="15" x14ac:dyDescent="0.25">
      <c r="A1" s="14" t="s">
        <v>19</v>
      </c>
    </row>
    <row r="2" spans="1:3" ht="15" x14ac:dyDescent="0.25">
      <c r="A2" t="s">
        <v>0</v>
      </c>
      <c r="B2" s="9">
        <v>35019</v>
      </c>
    </row>
    <row r="3" spans="1:3" ht="15" x14ac:dyDescent="0.25">
      <c r="A3" t="s">
        <v>1</v>
      </c>
      <c r="B3" s="1">
        <v>41883</v>
      </c>
    </row>
    <row r="4" spans="1:3" ht="15" x14ac:dyDescent="0.25">
      <c r="A4" t="s">
        <v>2</v>
      </c>
      <c r="B4" s="9">
        <v>42521</v>
      </c>
      <c r="C4" t="s">
        <v>6</v>
      </c>
    </row>
    <row r="5" spans="1:3" ht="15" x14ac:dyDescent="0.25">
      <c r="B5" s="1"/>
    </row>
    <row r="6" spans="1:3" ht="15.75" thickBot="1" x14ac:dyDescent="0.3"/>
    <row r="7" spans="1:3" ht="15" x14ac:dyDescent="0.25">
      <c r="A7" s="3" t="s">
        <v>3</v>
      </c>
      <c r="B7" s="4">
        <f>B3-B2</f>
        <v>6864</v>
      </c>
    </row>
    <row r="8" spans="1:3" ht="15" x14ac:dyDescent="0.25">
      <c r="A8" s="5" t="s">
        <v>4</v>
      </c>
      <c r="B8" s="6">
        <v>730</v>
      </c>
    </row>
    <row r="9" spans="1:3" ht="15.75" thickBot="1" x14ac:dyDescent="0.3">
      <c r="A9" s="7" t="s">
        <v>5</v>
      </c>
      <c r="B9" s="8">
        <f>B7+B8</f>
        <v>7594</v>
      </c>
    </row>
    <row r="10" spans="1:3" ht="15.75" thickBot="1" x14ac:dyDescent="0.3">
      <c r="A10" s="2"/>
    </row>
    <row r="11" spans="1:3" ht="15.75" thickBot="1" x14ac:dyDescent="0.3">
      <c r="A11" s="10" t="s">
        <v>7</v>
      </c>
      <c r="B11" s="11">
        <f>B4-B3</f>
        <v>638</v>
      </c>
    </row>
    <row r="12" spans="1:3" ht="15.75" thickBot="1" x14ac:dyDescent="0.3"/>
    <row r="13" spans="1:3" ht="15" x14ac:dyDescent="0.25">
      <c r="A13" s="3" t="s">
        <v>8</v>
      </c>
      <c r="B13" s="4">
        <v>58394</v>
      </c>
    </row>
    <row r="14" spans="1:3" ht="15" x14ac:dyDescent="0.25">
      <c r="A14" s="5" t="s">
        <v>9</v>
      </c>
      <c r="B14" s="6">
        <v>53320</v>
      </c>
    </row>
    <row r="15" spans="1:3" ht="15.75" thickBot="1" x14ac:dyDescent="0.3">
      <c r="A15" s="7" t="s">
        <v>10</v>
      </c>
      <c r="B15" s="8">
        <f>MIN(B13:B14)</f>
        <v>53320</v>
      </c>
    </row>
    <row r="16" spans="1:3" ht="15.75" thickBot="1" x14ac:dyDescent="0.3"/>
    <row r="17" spans="1:3" ht="15" x14ac:dyDescent="0.25">
      <c r="A17" s="3" t="s">
        <v>11</v>
      </c>
      <c r="B17" s="4">
        <v>62625</v>
      </c>
    </row>
    <row r="18" spans="1:3" ht="15.75" thickBot="1" x14ac:dyDescent="0.3">
      <c r="A18" s="7" t="s">
        <v>12</v>
      </c>
      <c r="B18" s="8">
        <f>MIN(B17,B13)</f>
        <v>58394</v>
      </c>
    </row>
    <row r="20" spans="1:3" ht="30" x14ac:dyDescent="0.25">
      <c r="A20" s="12"/>
      <c r="B20" s="15" t="s">
        <v>15</v>
      </c>
      <c r="C20" s="15" t="s">
        <v>16</v>
      </c>
    </row>
    <row r="21" spans="1:3" ht="15" x14ac:dyDescent="0.25">
      <c r="A21" s="12" t="s">
        <v>14</v>
      </c>
      <c r="B21" s="12">
        <f>B9</f>
        <v>7594</v>
      </c>
      <c r="C21" s="12">
        <f>B11</f>
        <v>638</v>
      </c>
    </row>
    <row r="22" spans="1:3" ht="15" x14ac:dyDescent="0.25">
      <c r="A22" s="12" t="s">
        <v>13</v>
      </c>
      <c r="B22" s="12">
        <f>B15</f>
        <v>53320</v>
      </c>
      <c r="C22" s="12">
        <f>B18</f>
        <v>58394</v>
      </c>
    </row>
    <row r="23" spans="1:3" ht="15" x14ac:dyDescent="0.25">
      <c r="A23" s="12" t="s">
        <v>17</v>
      </c>
      <c r="B23" s="12">
        <f>ROUND((B21*B22)/(70*365),0)</f>
        <v>15848</v>
      </c>
      <c r="C23" s="12">
        <f>ROUND((C21*C22)/(70*365),0)</f>
        <v>1458</v>
      </c>
    </row>
    <row r="24" spans="1:3" ht="15" x14ac:dyDescent="0.25">
      <c r="A24" s="13" t="s">
        <v>18</v>
      </c>
      <c r="B24" s="16">
        <f>SUM(B23:C23)</f>
        <v>17306</v>
      </c>
      <c r="C24" s="16"/>
    </row>
  </sheetData>
  <mergeCells count="1">
    <mergeCell ref="B24:C24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6" sqref="A26"/>
    </sheetView>
  </sheetViews>
  <sheetFormatPr defaultRowHeight="14.4" x14ac:dyDescent="0.3"/>
  <sheetData>
    <row r="1" spans="1:1" x14ac:dyDescent="0.25">
      <c r="A1">
        <v>53330</v>
      </c>
    </row>
    <row r="2" spans="1:1" x14ac:dyDescent="0.25">
      <c r="A2">
        <v>55186</v>
      </c>
    </row>
    <row r="3" spans="1:1" x14ac:dyDescent="0.25">
      <c r="A3">
        <v>55186</v>
      </c>
    </row>
    <row r="4" spans="1:1" x14ac:dyDescent="0.25">
      <c r="A4">
        <v>55186</v>
      </c>
    </row>
    <row r="5" spans="1:1" x14ac:dyDescent="0.25">
      <c r="A5">
        <v>3732</v>
      </c>
    </row>
    <row r="6" spans="1:1" x14ac:dyDescent="0.25">
      <c r="A6">
        <v>55186</v>
      </c>
    </row>
    <row r="7" spans="1:1" x14ac:dyDescent="0.25">
      <c r="A7">
        <v>55186</v>
      </c>
    </row>
    <row r="8" spans="1:1" x14ac:dyDescent="0.25">
      <c r="A8">
        <v>55186</v>
      </c>
    </row>
    <row r="9" spans="1:1" x14ac:dyDescent="0.25">
      <c r="A9">
        <v>55186</v>
      </c>
    </row>
    <row r="10" spans="1:1" x14ac:dyDescent="0.25">
      <c r="A10">
        <v>56786</v>
      </c>
    </row>
    <row r="11" spans="1:1" x14ac:dyDescent="0.25">
      <c r="A11">
        <v>4800</v>
      </c>
    </row>
    <row r="12" spans="1:1" x14ac:dyDescent="0.25">
      <c r="A12">
        <v>56786</v>
      </c>
    </row>
    <row r="13" spans="1:1" x14ac:dyDescent="0.25">
      <c r="A13">
        <v>56786</v>
      </c>
    </row>
    <row r="14" spans="1:1" x14ac:dyDescent="0.25">
      <c r="A14">
        <v>58490</v>
      </c>
    </row>
    <row r="15" spans="1:1" x14ac:dyDescent="0.25">
      <c r="A15">
        <v>58490</v>
      </c>
    </row>
    <row r="16" spans="1:1" x14ac:dyDescent="0.25">
      <c r="A16">
        <v>60137</v>
      </c>
    </row>
    <row r="17" spans="1:1" x14ac:dyDescent="0.25">
      <c r="A17">
        <v>60137</v>
      </c>
    </row>
    <row r="18" spans="1:1" x14ac:dyDescent="0.25">
      <c r="A18">
        <v>3294</v>
      </c>
    </row>
    <row r="19" spans="1:1" x14ac:dyDescent="0.25">
      <c r="A19">
        <v>60137</v>
      </c>
    </row>
    <row r="20" spans="1:1" x14ac:dyDescent="0.25">
      <c r="A20">
        <v>61217</v>
      </c>
    </row>
    <row r="21" spans="1:1" x14ac:dyDescent="0.25">
      <c r="A21">
        <v>61157</v>
      </c>
    </row>
    <row r="22" spans="1:1" x14ac:dyDescent="0.25">
      <c r="A22">
        <v>61037</v>
      </c>
    </row>
    <row r="23" spans="1:1" x14ac:dyDescent="0.25">
      <c r="A23">
        <v>61037</v>
      </c>
    </row>
    <row r="24" spans="1:1" x14ac:dyDescent="0.25">
      <c r="A24">
        <v>62625</v>
      </c>
    </row>
    <row r="25" spans="1:1" x14ac:dyDescent="0.25">
      <c r="A25" cm="1">
        <f t="array" ref="A25">SUM(A1:A24/21)</f>
        <v>58394.28571428571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TSB</vt:lpstr>
      <vt:lpstr>Anita Goyal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ts_bawa ts_bawa</cp:lastModifiedBy>
  <cp:lastPrinted>2024-07-26T09:21:43Z</cp:lastPrinted>
  <dcterms:created xsi:type="dcterms:W3CDTF">2024-07-25T06:16:18Z</dcterms:created>
  <dcterms:modified xsi:type="dcterms:W3CDTF">2024-07-27T10:14:05Z</dcterms:modified>
</cp:coreProperties>
</file>