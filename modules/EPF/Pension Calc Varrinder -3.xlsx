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9302"/>
  <workbookPr filterPrivacy="1" defaultThemeVersion="124226"/>
  <bookViews>
    <workbookView xWindow="-120" yWindow="-120" windowWidth="20730" windowHeight="11760" activeTab="2"/>
  </bookViews>
  <sheets>
    <sheet name="Instructions" sheetId="6" r:id="rId1"/>
    <sheet name="निर्देश" sheetId="7" r:id="rId2"/>
    <sheet name="Input" sheetId="1" r:id="rId3"/>
    <sheet name="Pension Cal" sheetId="2" state="hidden" r:id="rId4"/>
    <sheet name="Amount Cal" sheetId="3" state="hidden" r:id="rId5"/>
    <sheet name="Output &amp; Statistics" sheetId="5" r:id="rId6"/>
  </sheets>
  <definedNames>
    <definedName name="_xlnm.Print_Area" localSheetId="4">'Amount Cal'!$A$1:$V$321</definedName>
    <definedName name="_xlnm.Print_Area" localSheetId="3">'Pension Cal'!$A$1:$AB$52</definedName>
    <definedName name="_xlnm.Print_Titles" localSheetId="4">'Amount Cal'!$1:$14</definedName>
    <definedName name="_xlnm.Print_Titles" localSheetId="2">Input!$2:$11</definedName>
  </definedNames>
  <calcPr calcId="144525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G201" i="3" l="1"/>
  <c r="L11" i="3" l="1"/>
  <c r="K11" i="3"/>
  <c r="N11" i="3" s="1"/>
  <c r="J11" i="3"/>
  <c r="F11" i="3"/>
  <c r="E11" i="3"/>
  <c r="D11" i="3"/>
  <c r="O11" i="3" l="1"/>
  <c r="G11" i="3"/>
  <c r="M11" i="3"/>
  <c r="S192" i="3" l="1"/>
  <c r="S194" i="3" s="1"/>
  <c r="S185" i="3"/>
  <c r="S187" i="3" s="1"/>
  <c r="S178" i="3"/>
  <c r="S180" i="3" s="1"/>
  <c r="S171" i="3"/>
  <c r="S172" i="3" s="1"/>
  <c r="S164" i="3"/>
  <c r="S166" i="3" s="1"/>
  <c r="S157" i="3"/>
  <c r="S159" i="3" s="1"/>
  <c r="S150" i="3"/>
  <c r="S143" i="3"/>
  <c r="S144" i="3" s="1"/>
  <c r="S136" i="3"/>
  <c r="S138" i="3" s="1"/>
  <c r="S129" i="3"/>
  <c r="S131" i="3" s="1"/>
  <c r="S123" i="3"/>
  <c r="S117" i="3"/>
  <c r="S111" i="3"/>
  <c r="S105" i="3"/>
  <c r="S99" i="3"/>
  <c r="S93" i="3"/>
  <c r="S87" i="3"/>
  <c r="S81" i="3"/>
  <c r="S75" i="3"/>
  <c r="S69" i="3"/>
  <c r="S63" i="3"/>
  <c r="S57" i="3"/>
  <c r="S51" i="3"/>
  <c r="S45" i="3"/>
  <c r="S39" i="3"/>
  <c r="S33" i="3"/>
  <c r="S27" i="3"/>
  <c r="S21" i="3"/>
  <c r="S15" i="3"/>
  <c r="S152" i="3" l="1"/>
  <c r="S130" i="3"/>
  <c r="S165" i="3"/>
  <c r="S173" i="3"/>
  <c r="S145" i="3"/>
  <c r="S179" i="3"/>
  <c r="S151" i="3"/>
  <c r="S193" i="3"/>
  <c r="S137" i="3"/>
  <c r="S158" i="3"/>
  <c r="S186" i="3"/>
  <c r="H137" i="3"/>
  <c r="H138" i="3"/>
  <c r="H139" i="3"/>
  <c r="H144" i="3"/>
  <c r="H145" i="3"/>
  <c r="H146" i="3"/>
  <c r="H151" i="3"/>
  <c r="H152" i="3"/>
  <c r="H153" i="3"/>
  <c r="H158" i="3"/>
  <c r="H159" i="3"/>
  <c r="H160" i="3"/>
  <c r="H165" i="3"/>
  <c r="H166" i="3"/>
  <c r="H167" i="3"/>
  <c r="H172" i="3"/>
  <c r="H173" i="3"/>
  <c r="H174" i="3"/>
  <c r="H179" i="3"/>
  <c r="H180" i="3"/>
  <c r="H181" i="3"/>
  <c r="H154" i="3" l="1"/>
  <c r="H161" i="3"/>
  <c r="H182" i="3"/>
  <c r="H175" i="3"/>
  <c r="H147" i="3"/>
  <c r="H168" i="3"/>
  <c r="H140" i="3"/>
  <c r="B241" i="3" l="1"/>
  <c r="B349" i="3" l="1"/>
  <c r="B348" i="3"/>
  <c r="B347" i="3"/>
  <c r="B346" i="3"/>
  <c r="B345" i="3"/>
  <c r="B344" i="3"/>
  <c r="B343" i="3"/>
  <c r="B342" i="3"/>
  <c r="B341" i="3"/>
  <c r="B340" i="3"/>
  <c r="B339" i="3"/>
  <c r="B338" i="3"/>
  <c r="B337" i="3"/>
  <c r="B336" i="3"/>
  <c r="B335" i="3"/>
  <c r="B334" i="3"/>
  <c r="B333" i="3"/>
  <c r="B332" i="3"/>
  <c r="B331" i="3"/>
  <c r="B330" i="3"/>
  <c r="B329" i="3"/>
  <c r="B328" i="3"/>
  <c r="B327" i="3"/>
  <c r="B326" i="3"/>
  <c r="B325" i="3"/>
  <c r="B324" i="3"/>
  <c r="B323" i="3"/>
  <c r="B322" i="3"/>
  <c r="B321" i="3"/>
  <c r="B320" i="3"/>
  <c r="B319" i="3"/>
  <c r="B318" i="3"/>
  <c r="B317" i="3"/>
  <c r="B316" i="3"/>
  <c r="B315" i="3"/>
  <c r="B314" i="3"/>
  <c r="B313" i="3"/>
  <c r="B312" i="3"/>
  <c r="B311" i="3"/>
  <c r="B310" i="3"/>
  <c r="B309" i="3"/>
  <c r="B308" i="3"/>
  <c r="B307" i="3"/>
  <c r="B306" i="3"/>
  <c r="B305" i="3"/>
  <c r="B304" i="3"/>
  <c r="B303" i="3"/>
  <c r="B302" i="3"/>
  <c r="B301" i="3"/>
  <c r="B300" i="3"/>
  <c r="B299" i="3"/>
  <c r="B298" i="3"/>
  <c r="B297" i="3"/>
  <c r="B296" i="3"/>
  <c r="B295" i="3"/>
  <c r="B294" i="3"/>
  <c r="B293" i="3"/>
  <c r="B292" i="3"/>
  <c r="B291" i="3"/>
  <c r="B290" i="3"/>
  <c r="B289" i="3"/>
  <c r="B288" i="3"/>
  <c r="B287" i="3"/>
  <c r="B286" i="3"/>
  <c r="B285" i="3"/>
  <c r="B284" i="3"/>
  <c r="B283" i="3"/>
  <c r="B282" i="3"/>
  <c r="B281" i="3"/>
  <c r="B280" i="3"/>
  <c r="B279" i="3"/>
  <c r="B278" i="3"/>
  <c r="B277" i="3"/>
  <c r="B276" i="3"/>
  <c r="B275" i="3"/>
  <c r="B274" i="3"/>
  <c r="B273" i="3"/>
  <c r="B272" i="3"/>
  <c r="B271" i="3"/>
  <c r="B270" i="3"/>
  <c r="B269" i="3"/>
  <c r="B268" i="3"/>
  <c r="B267" i="3"/>
  <c r="B266" i="3"/>
  <c r="B265" i="3"/>
  <c r="B264" i="3"/>
  <c r="B263" i="3"/>
  <c r="B262" i="3"/>
  <c r="B261" i="3"/>
  <c r="B260" i="3"/>
  <c r="B259" i="3"/>
  <c r="B258" i="3"/>
  <c r="B257" i="3"/>
  <c r="B256" i="3"/>
  <c r="B255" i="3"/>
  <c r="B254" i="3"/>
  <c r="B244" i="3"/>
  <c r="B243" i="3"/>
  <c r="B242" i="3"/>
  <c r="B240" i="3"/>
  <c r="B239" i="3"/>
  <c r="B238" i="3"/>
  <c r="B237" i="3"/>
  <c r="B236" i="3"/>
  <c r="B235" i="3"/>
  <c r="B234" i="3"/>
  <c r="B233" i="3"/>
  <c r="B232" i="3"/>
  <c r="B231" i="3"/>
  <c r="B230" i="3"/>
  <c r="B253" i="3"/>
  <c r="B252" i="3"/>
  <c r="B251" i="3"/>
  <c r="B250" i="3"/>
  <c r="B249" i="3"/>
  <c r="B248" i="3"/>
  <c r="B247" i="3"/>
  <c r="B246" i="3"/>
  <c r="B245" i="3"/>
  <c r="B229" i="3"/>
  <c r="B228" i="3"/>
  <c r="B227" i="3"/>
  <c r="B226" i="3"/>
  <c r="B225" i="3"/>
  <c r="B224" i="3"/>
  <c r="B223" i="3"/>
  <c r="B222" i="3"/>
  <c r="B221" i="3"/>
  <c r="B220" i="3"/>
  <c r="B219" i="3"/>
  <c r="B218" i="3"/>
  <c r="B217" i="3"/>
  <c r="B216" i="3"/>
  <c r="B215" i="3"/>
  <c r="B214" i="3"/>
  <c r="B213" i="3"/>
  <c r="B212" i="3"/>
  <c r="B211" i="3"/>
  <c r="B210" i="3"/>
  <c r="B209" i="3"/>
  <c r="B208" i="3"/>
  <c r="B207" i="3"/>
  <c r="B206" i="3"/>
  <c r="B205" i="3"/>
  <c r="B204" i="3"/>
  <c r="B203" i="3"/>
  <c r="B202" i="3"/>
  <c r="B201" i="3"/>
  <c r="B200" i="3"/>
  <c r="B199" i="3"/>
  <c r="B198" i="3"/>
  <c r="B197" i="3"/>
  <c r="B196" i="3"/>
  <c r="B195" i="3"/>
  <c r="B194" i="3"/>
  <c r="B193" i="3"/>
  <c r="B192" i="3"/>
  <c r="B191" i="3"/>
  <c r="B190" i="3"/>
  <c r="B189" i="3"/>
  <c r="B188" i="3"/>
  <c r="B187" i="3"/>
  <c r="B186" i="3"/>
  <c r="B185" i="3"/>
  <c r="B184" i="3"/>
  <c r="B183" i="3"/>
  <c r="B182" i="3"/>
  <c r="B181" i="3"/>
  <c r="B180" i="3"/>
  <c r="B179" i="3"/>
  <c r="B178" i="3"/>
  <c r="B177" i="3"/>
  <c r="B176" i="3"/>
  <c r="B175" i="3"/>
  <c r="B174" i="3"/>
  <c r="B173" i="3"/>
  <c r="B172" i="3"/>
  <c r="B171" i="3"/>
  <c r="B170" i="3"/>
  <c r="B169" i="3"/>
  <c r="B168" i="3"/>
  <c r="B167" i="3"/>
  <c r="B166" i="3"/>
  <c r="B165" i="3"/>
  <c r="B164" i="3"/>
  <c r="B163" i="3"/>
  <c r="B162" i="3"/>
  <c r="B161" i="3"/>
  <c r="B160" i="3"/>
  <c r="B159" i="3"/>
  <c r="B158" i="3"/>
  <c r="B157" i="3"/>
  <c r="B156" i="3"/>
  <c r="B155" i="3"/>
  <c r="B154" i="3"/>
  <c r="B153" i="3"/>
  <c r="B152" i="3"/>
  <c r="B151" i="3"/>
  <c r="B150" i="3"/>
  <c r="B149" i="3"/>
  <c r="B148" i="3"/>
  <c r="B147" i="3"/>
  <c r="B146" i="3"/>
  <c r="B145" i="3"/>
  <c r="B144" i="3"/>
  <c r="B143" i="3"/>
  <c r="B142" i="3"/>
  <c r="B141" i="3"/>
  <c r="B140" i="3"/>
  <c r="B139" i="3"/>
  <c r="B138" i="3"/>
  <c r="B137" i="3"/>
  <c r="B136" i="3"/>
  <c r="B135" i="3"/>
  <c r="B134" i="3"/>
  <c r="B133" i="3"/>
  <c r="B132" i="3"/>
  <c r="B131" i="3"/>
  <c r="B130" i="3"/>
  <c r="B129" i="3"/>
  <c r="B128" i="3"/>
  <c r="B127" i="3"/>
  <c r="B126" i="3"/>
  <c r="B125" i="3"/>
  <c r="B124" i="3"/>
  <c r="B123" i="3"/>
  <c r="B122" i="3"/>
  <c r="B121" i="3"/>
  <c r="B120" i="3"/>
  <c r="B119" i="3"/>
  <c r="B118" i="3"/>
  <c r="B117" i="3"/>
  <c r="B116" i="3"/>
  <c r="B115" i="3"/>
  <c r="B114" i="3"/>
  <c r="B113" i="3"/>
  <c r="B112" i="3"/>
  <c r="B111" i="3"/>
  <c r="B110" i="3"/>
  <c r="B109" i="3"/>
  <c r="B108" i="3"/>
  <c r="B107" i="3"/>
  <c r="B106" i="3"/>
  <c r="B105" i="3"/>
  <c r="B104" i="3"/>
  <c r="B103" i="3"/>
  <c r="B102" i="3"/>
  <c r="B101" i="3"/>
  <c r="B100" i="3"/>
  <c r="B99" i="3"/>
  <c r="B98" i="3"/>
  <c r="B97" i="3"/>
  <c r="B96" i="3"/>
  <c r="B95" i="3"/>
  <c r="B94" i="3"/>
  <c r="B93" i="3"/>
  <c r="B92" i="3"/>
  <c r="B91" i="3"/>
  <c r="B90" i="3"/>
  <c r="B89" i="3"/>
  <c r="B88" i="3"/>
  <c r="B87" i="3"/>
  <c r="B86" i="3"/>
  <c r="B85" i="3"/>
  <c r="B84" i="3"/>
  <c r="B83" i="3"/>
  <c r="B82" i="3"/>
  <c r="B81" i="3"/>
  <c r="B80" i="3"/>
  <c r="B79" i="3"/>
  <c r="B78" i="3"/>
  <c r="B77" i="3"/>
  <c r="B76" i="3"/>
  <c r="B75" i="3"/>
  <c r="B74" i="3"/>
  <c r="B73" i="3"/>
  <c r="B72" i="3"/>
  <c r="B71" i="3"/>
  <c r="B70" i="3"/>
  <c r="B69" i="3"/>
  <c r="B68" i="3"/>
  <c r="B67" i="3"/>
  <c r="B66" i="3"/>
  <c r="B65" i="3"/>
  <c r="B64" i="3"/>
  <c r="B63" i="3"/>
  <c r="B62" i="3"/>
  <c r="B61" i="3"/>
  <c r="B60" i="3"/>
  <c r="B59" i="3"/>
  <c r="B58" i="3"/>
  <c r="B57" i="3"/>
  <c r="B56" i="3"/>
  <c r="B55" i="3"/>
  <c r="B54" i="3"/>
  <c r="B53" i="3"/>
  <c r="B52" i="3"/>
  <c r="B51" i="3"/>
  <c r="B50" i="3"/>
  <c r="B49" i="3"/>
  <c r="B48" i="3"/>
  <c r="B47" i="3"/>
  <c r="B46" i="3"/>
  <c r="B45" i="3"/>
  <c r="B44" i="3"/>
  <c r="B43" i="3"/>
  <c r="B42" i="3"/>
  <c r="B41" i="3"/>
  <c r="B40" i="3"/>
  <c r="B39" i="3"/>
  <c r="B38" i="3"/>
  <c r="B37" i="3"/>
  <c r="B36" i="3"/>
  <c r="B35" i="3"/>
  <c r="B34" i="3"/>
  <c r="B33" i="3"/>
  <c r="B32" i="3"/>
  <c r="B31" i="3"/>
  <c r="B30" i="3"/>
  <c r="B29" i="3"/>
  <c r="B28" i="3"/>
  <c r="B27" i="3"/>
  <c r="B26" i="3"/>
  <c r="B25" i="3"/>
  <c r="B24" i="3"/>
  <c r="B23" i="3"/>
  <c r="B22" i="3"/>
  <c r="B21" i="3"/>
  <c r="B20" i="3"/>
  <c r="B19" i="3"/>
  <c r="B18" i="3"/>
  <c r="B17" i="3"/>
  <c r="B16" i="3"/>
  <c r="B15" i="3"/>
  <c r="B14" i="3"/>
  <c r="B13" i="3"/>
  <c r="B12" i="3"/>
  <c r="B11" i="3"/>
  <c r="B10" i="3"/>
  <c r="H193" i="3"/>
  <c r="I193" i="3"/>
  <c r="J193" i="3"/>
  <c r="K193" i="3"/>
  <c r="L193" i="3"/>
  <c r="M193" i="3"/>
  <c r="N193" i="3"/>
  <c r="O193" i="3"/>
  <c r="P193" i="3"/>
  <c r="Q193" i="3"/>
  <c r="R193" i="3"/>
  <c r="H194" i="3"/>
  <c r="I194" i="3"/>
  <c r="J194" i="3"/>
  <c r="K194" i="3"/>
  <c r="L194" i="3"/>
  <c r="M194" i="3"/>
  <c r="N194" i="3"/>
  <c r="O194" i="3"/>
  <c r="P194" i="3"/>
  <c r="Q194" i="3"/>
  <c r="R194" i="3"/>
  <c r="G194" i="3"/>
  <c r="G195" i="3"/>
  <c r="G193" i="3"/>
  <c r="R195" i="3"/>
  <c r="Q195" i="3"/>
  <c r="P195" i="3"/>
  <c r="O195" i="3"/>
  <c r="N195" i="3"/>
  <c r="M195" i="3"/>
  <c r="L195" i="3"/>
  <c r="K195" i="3"/>
  <c r="J195" i="3"/>
  <c r="I195" i="3"/>
  <c r="H195" i="3"/>
  <c r="H188" i="3"/>
  <c r="I188" i="3"/>
  <c r="J188" i="3"/>
  <c r="K188" i="3"/>
  <c r="L188" i="3"/>
  <c r="M188" i="3"/>
  <c r="N188" i="3"/>
  <c r="O188" i="3"/>
  <c r="P188" i="3"/>
  <c r="Q188" i="3"/>
  <c r="R188" i="3"/>
  <c r="G188" i="3"/>
  <c r="I181" i="3"/>
  <c r="J181" i="3"/>
  <c r="K181" i="3"/>
  <c r="L181" i="3"/>
  <c r="M181" i="3"/>
  <c r="N181" i="3"/>
  <c r="O181" i="3"/>
  <c r="P181" i="3"/>
  <c r="Q181" i="3"/>
  <c r="R181" i="3"/>
  <c r="G181" i="3"/>
  <c r="I174" i="3"/>
  <c r="J174" i="3"/>
  <c r="K174" i="3"/>
  <c r="L174" i="3"/>
  <c r="M174" i="3"/>
  <c r="N174" i="3"/>
  <c r="O174" i="3"/>
  <c r="P174" i="3"/>
  <c r="Q174" i="3"/>
  <c r="R174" i="3"/>
  <c r="G174" i="3"/>
  <c r="I167" i="3"/>
  <c r="J167" i="3"/>
  <c r="K167" i="3"/>
  <c r="L167" i="3"/>
  <c r="M167" i="3"/>
  <c r="N167" i="3"/>
  <c r="O167" i="3"/>
  <c r="P167" i="3"/>
  <c r="Q167" i="3"/>
  <c r="R167" i="3"/>
  <c r="G167" i="3"/>
  <c r="S167" i="3" s="1"/>
  <c r="I160" i="3"/>
  <c r="J160" i="3"/>
  <c r="K160" i="3"/>
  <c r="L160" i="3"/>
  <c r="M160" i="3"/>
  <c r="N160" i="3"/>
  <c r="O160" i="3"/>
  <c r="P160" i="3"/>
  <c r="Q160" i="3"/>
  <c r="R160" i="3"/>
  <c r="G160" i="3"/>
  <c r="I153" i="3"/>
  <c r="J153" i="3"/>
  <c r="K153" i="3"/>
  <c r="L153" i="3"/>
  <c r="M153" i="3"/>
  <c r="N153" i="3"/>
  <c r="O153" i="3"/>
  <c r="P153" i="3"/>
  <c r="Q153" i="3"/>
  <c r="R153" i="3"/>
  <c r="G153" i="3"/>
  <c r="I139" i="3"/>
  <c r="J139" i="3"/>
  <c r="K139" i="3"/>
  <c r="L139" i="3"/>
  <c r="M139" i="3"/>
  <c r="N139" i="3"/>
  <c r="O139" i="3"/>
  <c r="P139" i="3"/>
  <c r="Q139" i="3"/>
  <c r="R139" i="3"/>
  <c r="G139" i="3"/>
  <c r="I146" i="3"/>
  <c r="J146" i="3"/>
  <c r="K146" i="3"/>
  <c r="L146" i="3"/>
  <c r="M146" i="3"/>
  <c r="N146" i="3"/>
  <c r="O146" i="3"/>
  <c r="P146" i="3"/>
  <c r="Q146" i="3"/>
  <c r="R146" i="3"/>
  <c r="G146" i="3"/>
  <c r="S146" i="3" s="1"/>
  <c r="N132" i="3"/>
  <c r="O132" i="3"/>
  <c r="P132" i="3"/>
  <c r="Q132" i="3"/>
  <c r="R132" i="3"/>
  <c r="M132" i="3"/>
  <c r="O16" i="3"/>
  <c r="S160" i="3" l="1"/>
  <c r="S195" i="3"/>
  <c r="S153" i="3"/>
  <c r="S154" i="3" s="1"/>
  <c r="S181" i="3"/>
  <c r="S182" i="3" s="1"/>
  <c r="S188" i="3"/>
  <c r="S174" i="3"/>
  <c r="S175" i="3" s="1"/>
  <c r="S139" i="3"/>
  <c r="S140" i="3" s="1"/>
  <c r="S147" i="3"/>
  <c r="S168" i="3"/>
  <c r="S196" i="3"/>
  <c r="S161" i="3"/>
  <c r="S189" i="3"/>
  <c r="Q196" i="3"/>
  <c r="M196" i="3"/>
  <c r="I196" i="3"/>
  <c r="P196" i="3"/>
  <c r="L196" i="3"/>
  <c r="H196" i="3"/>
  <c r="O196" i="3"/>
  <c r="K196" i="3"/>
  <c r="R196" i="3"/>
  <c r="N196" i="3"/>
  <c r="J196" i="3"/>
  <c r="G196" i="3"/>
  <c r="S132" i="3"/>
  <c r="H187" i="3"/>
  <c r="I187" i="3"/>
  <c r="J187" i="3"/>
  <c r="K187" i="3"/>
  <c r="L187" i="3"/>
  <c r="M187" i="3"/>
  <c r="N187" i="3"/>
  <c r="O187" i="3"/>
  <c r="P187" i="3"/>
  <c r="Q187" i="3"/>
  <c r="R187" i="3"/>
  <c r="G187" i="3"/>
  <c r="H186" i="3"/>
  <c r="H189" i="3" s="1"/>
  <c r="I186" i="3"/>
  <c r="J186" i="3"/>
  <c r="K186" i="3"/>
  <c r="L186" i="3"/>
  <c r="M186" i="3"/>
  <c r="N186" i="3"/>
  <c r="N189" i="3" s="1"/>
  <c r="O186" i="3"/>
  <c r="P186" i="3"/>
  <c r="P189" i="3" s="1"/>
  <c r="Q186" i="3"/>
  <c r="R186" i="3"/>
  <c r="G186" i="3"/>
  <c r="I180" i="3"/>
  <c r="J180" i="3"/>
  <c r="K180" i="3"/>
  <c r="L180" i="3"/>
  <c r="M180" i="3"/>
  <c r="N180" i="3"/>
  <c r="O180" i="3"/>
  <c r="P180" i="3"/>
  <c r="Q180" i="3"/>
  <c r="R180" i="3"/>
  <c r="G180" i="3"/>
  <c r="I179" i="3"/>
  <c r="J179" i="3"/>
  <c r="K179" i="3"/>
  <c r="L179" i="3"/>
  <c r="M179" i="3"/>
  <c r="N179" i="3"/>
  <c r="O179" i="3"/>
  <c r="P179" i="3"/>
  <c r="Q179" i="3"/>
  <c r="R179" i="3"/>
  <c r="G179" i="3"/>
  <c r="L131" i="3"/>
  <c r="R189" i="3" l="1"/>
  <c r="P182" i="3"/>
  <c r="L182" i="3"/>
  <c r="R182" i="3"/>
  <c r="N182" i="3"/>
  <c r="L189" i="3"/>
  <c r="M189" i="3"/>
  <c r="I189" i="3"/>
  <c r="O182" i="3"/>
  <c r="J182" i="3"/>
  <c r="Q189" i="3"/>
  <c r="J189" i="3"/>
  <c r="T197" i="3"/>
  <c r="O189" i="3"/>
  <c r="K189" i="3"/>
  <c r="G189" i="3"/>
  <c r="K182" i="3"/>
  <c r="G182" i="3"/>
  <c r="I182" i="3"/>
  <c r="M182" i="3"/>
  <c r="Q182" i="3"/>
  <c r="M25" i="2"/>
  <c r="M24" i="2"/>
  <c r="I11" i="2"/>
  <c r="I9" i="2"/>
  <c r="T190" i="3" l="1"/>
  <c r="L10" i="2" l="1"/>
  <c r="K10" i="2"/>
  <c r="I10" i="2"/>
  <c r="M22" i="2" l="1"/>
  <c r="I7" i="5" l="1"/>
  <c r="I6" i="5"/>
  <c r="I5" i="5"/>
  <c r="O17" i="3" l="1"/>
  <c r="R172" i="3" l="1"/>
  <c r="Q172" i="3"/>
  <c r="P172" i="3"/>
  <c r="O172" i="3"/>
  <c r="N172" i="3"/>
  <c r="M172" i="3"/>
  <c r="L172" i="3"/>
  <c r="K172" i="3"/>
  <c r="J172" i="3"/>
  <c r="I172" i="3"/>
  <c r="G172" i="3"/>
  <c r="G165" i="3"/>
  <c r="R158" i="3"/>
  <c r="Q158" i="3"/>
  <c r="P158" i="3"/>
  <c r="O158" i="3"/>
  <c r="N158" i="3"/>
  <c r="M158" i="3"/>
  <c r="L158" i="3"/>
  <c r="K158" i="3"/>
  <c r="J158" i="3"/>
  <c r="I158" i="3"/>
  <c r="G158" i="3"/>
  <c r="R151" i="3"/>
  <c r="Q151" i="3"/>
  <c r="P151" i="3"/>
  <c r="O151" i="3"/>
  <c r="N151" i="3"/>
  <c r="M151" i="3"/>
  <c r="L151" i="3"/>
  <c r="K151" i="3"/>
  <c r="J151" i="3"/>
  <c r="I151" i="3"/>
  <c r="G151" i="3"/>
  <c r="R144" i="3"/>
  <c r="Q144" i="3"/>
  <c r="P144" i="3"/>
  <c r="O144" i="3"/>
  <c r="N144" i="3"/>
  <c r="M144" i="3"/>
  <c r="L144" i="3"/>
  <c r="K144" i="3"/>
  <c r="J144" i="3"/>
  <c r="I144" i="3"/>
  <c r="G144" i="3"/>
  <c r="R137" i="3"/>
  <c r="Q137" i="3"/>
  <c r="P137" i="3"/>
  <c r="O137" i="3"/>
  <c r="N137" i="3"/>
  <c r="M137" i="3"/>
  <c r="L137" i="3"/>
  <c r="K137" i="3"/>
  <c r="J137" i="3"/>
  <c r="I137" i="3"/>
  <c r="G137" i="3"/>
  <c r="R130" i="3"/>
  <c r="Q130" i="3"/>
  <c r="P130" i="3"/>
  <c r="O130" i="3"/>
  <c r="N130" i="3"/>
  <c r="M130" i="3"/>
  <c r="L130" i="3"/>
  <c r="K130" i="3"/>
  <c r="J130" i="3"/>
  <c r="I130" i="3"/>
  <c r="H130" i="3"/>
  <c r="G130" i="3"/>
  <c r="R124" i="3"/>
  <c r="Q124" i="3"/>
  <c r="P124" i="3"/>
  <c r="O124" i="3"/>
  <c r="N124" i="3"/>
  <c r="M124" i="3"/>
  <c r="L124" i="3"/>
  <c r="K124" i="3"/>
  <c r="J124" i="3"/>
  <c r="I124" i="3"/>
  <c r="H124" i="3"/>
  <c r="G124" i="3"/>
  <c r="R118" i="3"/>
  <c r="Q118" i="3"/>
  <c r="P118" i="3"/>
  <c r="O118" i="3"/>
  <c r="N118" i="3"/>
  <c r="M118" i="3"/>
  <c r="L118" i="3"/>
  <c r="K118" i="3"/>
  <c r="J118" i="3"/>
  <c r="I118" i="3"/>
  <c r="H118" i="3"/>
  <c r="G118" i="3"/>
  <c r="R112" i="3"/>
  <c r="Q112" i="3"/>
  <c r="P112" i="3"/>
  <c r="O112" i="3"/>
  <c r="N112" i="3"/>
  <c r="M112" i="3"/>
  <c r="L112" i="3"/>
  <c r="K112" i="3"/>
  <c r="J112" i="3"/>
  <c r="I112" i="3"/>
  <c r="H112" i="3"/>
  <c r="G112" i="3"/>
  <c r="R106" i="3"/>
  <c r="Q106" i="3"/>
  <c r="P106" i="3"/>
  <c r="O106" i="3"/>
  <c r="N106" i="3"/>
  <c r="M106" i="3"/>
  <c r="L106" i="3"/>
  <c r="K106" i="3"/>
  <c r="J106" i="3"/>
  <c r="I106" i="3"/>
  <c r="H106" i="3"/>
  <c r="G106" i="3"/>
  <c r="R100" i="3"/>
  <c r="Q100" i="3"/>
  <c r="P100" i="3"/>
  <c r="O100" i="3"/>
  <c r="N100" i="3"/>
  <c r="M100" i="3"/>
  <c r="L100" i="3"/>
  <c r="K100" i="3"/>
  <c r="J100" i="3"/>
  <c r="I100" i="3"/>
  <c r="H100" i="3"/>
  <c r="G100" i="3"/>
  <c r="R94" i="3"/>
  <c r="Q94" i="3"/>
  <c r="P94" i="3"/>
  <c r="O94" i="3"/>
  <c r="N94" i="3"/>
  <c r="M94" i="3"/>
  <c r="L94" i="3"/>
  <c r="K94" i="3"/>
  <c r="J94" i="3"/>
  <c r="I94" i="3"/>
  <c r="H94" i="3"/>
  <c r="G94" i="3"/>
  <c r="R88" i="3"/>
  <c r="Q88" i="3"/>
  <c r="P88" i="3"/>
  <c r="O88" i="3"/>
  <c r="N88" i="3"/>
  <c r="M88" i="3"/>
  <c r="L88" i="3"/>
  <c r="K88" i="3"/>
  <c r="J88" i="3"/>
  <c r="I88" i="3"/>
  <c r="H88" i="3"/>
  <c r="G88" i="3"/>
  <c r="R82" i="3"/>
  <c r="Q82" i="3"/>
  <c r="P82" i="3"/>
  <c r="O82" i="3"/>
  <c r="N82" i="3"/>
  <c r="M82" i="3"/>
  <c r="L82" i="3"/>
  <c r="K82" i="3"/>
  <c r="J82" i="3"/>
  <c r="I82" i="3"/>
  <c r="H82" i="3"/>
  <c r="G82" i="3"/>
  <c r="R76" i="3"/>
  <c r="Q76" i="3"/>
  <c r="P76" i="3"/>
  <c r="O76" i="3"/>
  <c r="N76" i="3"/>
  <c r="M76" i="3"/>
  <c r="L76" i="3"/>
  <c r="K76" i="3"/>
  <c r="J76" i="3"/>
  <c r="I76" i="3"/>
  <c r="H76" i="3"/>
  <c r="G76" i="3"/>
  <c r="R70" i="3"/>
  <c r="Q70" i="3"/>
  <c r="P70" i="3"/>
  <c r="O70" i="3"/>
  <c r="N70" i="3"/>
  <c r="M70" i="3"/>
  <c r="L70" i="3"/>
  <c r="K70" i="3"/>
  <c r="J70" i="3"/>
  <c r="I70" i="3"/>
  <c r="H70" i="3"/>
  <c r="G70" i="3"/>
  <c r="R64" i="3"/>
  <c r="Q64" i="3"/>
  <c r="P64" i="3"/>
  <c r="O64" i="3"/>
  <c r="N64" i="3"/>
  <c r="M64" i="3"/>
  <c r="L64" i="3"/>
  <c r="K64" i="3"/>
  <c r="J64" i="3"/>
  <c r="I64" i="3"/>
  <c r="H64" i="3"/>
  <c r="G64" i="3"/>
  <c r="R58" i="3"/>
  <c r="Q58" i="3"/>
  <c r="P58" i="3"/>
  <c r="O58" i="3"/>
  <c r="N58" i="3"/>
  <c r="M58" i="3"/>
  <c r="L58" i="3"/>
  <c r="K58" i="3"/>
  <c r="J58" i="3"/>
  <c r="I58" i="3"/>
  <c r="H58" i="3"/>
  <c r="G58" i="3"/>
  <c r="R52" i="3"/>
  <c r="Q52" i="3"/>
  <c r="P52" i="3"/>
  <c r="O52" i="3"/>
  <c r="N52" i="3"/>
  <c r="M52" i="3"/>
  <c r="L52" i="3"/>
  <c r="K52" i="3"/>
  <c r="J52" i="3"/>
  <c r="I52" i="3"/>
  <c r="H52" i="3"/>
  <c r="G52" i="3"/>
  <c r="R46" i="3"/>
  <c r="Q46" i="3"/>
  <c r="P46" i="3"/>
  <c r="O46" i="3"/>
  <c r="N46" i="3"/>
  <c r="M46" i="3"/>
  <c r="L46" i="3"/>
  <c r="K46" i="3"/>
  <c r="J46" i="3"/>
  <c r="I46" i="3"/>
  <c r="H46" i="3"/>
  <c r="G46" i="3"/>
  <c r="R40" i="3"/>
  <c r="Q40" i="3"/>
  <c r="P40" i="3"/>
  <c r="O40" i="3"/>
  <c r="N40" i="3"/>
  <c r="M40" i="3"/>
  <c r="L40" i="3"/>
  <c r="K40" i="3"/>
  <c r="J40" i="3"/>
  <c r="I40" i="3"/>
  <c r="H40" i="3"/>
  <c r="G40" i="3"/>
  <c r="R34" i="3"/>
  <c r="Q34" i="3"/>
  <c r="P34" i="3"/>
  <c r="O34" i="3"/>
  <c r="N34" i="3"/>
  <c r="M34" i="3"/>
  <c r="L34" i="3"/>
  <c r="K34" i="3"/>
  <c r="J34" i="3"/>
  <c r="I34" i="3"/>
  <c r="H34" i="3"/>
  <c r="G34" i="3"/>
  <c r="R28" i="3"/>
  <c r="Q28" i="3"/>
  <c r="P28" i="3"/>
  <c r="O28" i="3"/>
  <c r="N28" i="3"/>
  <c r="M28" i="3"/>
  <c r="L28" i="3"/>
  <c r="K28" i="3"/>
  <c r="J28" i="3"/>
  <c r="I28" i="3"/>
  <c r="H28" i="3"/>
  <c r="G28" i="3"/>
  <c r="O22" i="3"/>
  <c r="N22" i="3"/>
  <c r="M22" i="3"/>
  <c r="L22" i="3"/>
  <c r="K22" i="3"/>
  <c r="J22" i="3"/>
  <c r="I22" i="3"/>
  <c r="H22" i="3"/>
  <c r="G22" i="3"/>
  <c r="R22" i="3"/>
  <c r="Q22" i="3"/>
  <c r="P22" i="3"/>
  <c r="R16" i="3"/>
  <c r="Q16" i="3"/>
  <c r="P16" i="3"/>
  <c r="R17" i="3"/>
  <c r="Q17" i="3"/>
  <c r="P17" i="3"/>
  <c r="R173" i="3"/>
  <c r="Q173" i="3"/>
  <c r="P173" i="3"/>
  <c r="O173" i="3"/>
  <c r="N173" i="3"/>
  <c r="M173" i="3"/>
  <c r="L173" i="3"/>
  <c r="K173" i="3"/>
  <c r="J173" i="3"/>
  <c r="I173" i="3"/>
  <c r="G173" i="3"/>
  <c r="R166" i="3"/>
  <c r="Q166" i="3"/>
  <c r="P166" i="3"/>
  <c r="O166" i="3"/>
  <c r="N166" i="3"/>
  <c r="M166" i="3"/>
  <c r="L166" i="3"/>
  <c r="K166" i="3"/>
  <c r="J166" i="3"/>
  <c r="I166" i="3"/>
  <c r="G166" i="3"/>
  <c r="R159" i="3"/>
  <c r="Q159" i="3"/>
  <c r="P159" i="3"/>
  <c r="O159" i="3"/>
  <c r="N159" i="3"/>
  <c r="M159" i="3"/>
  <c r="L159" i="3"/>
  <c r="K159" i="3"/>
  <c r="J159" i="3"/>
  <c r="I159" i="3"/>
  <c r="G159" i="3"/>
  <c r="R152" i="3"/>
  <c r="Q152" i="3"/>
  <c r="P152" i="3"/>
  <c r="O152" i="3"/>
  <c r="N152" i="3"/>
  <c r="M152" i="3"/>
  <c r="L152" i="3"/>
  <c r="K152" i="3"/>
  <c r="J152" i="3"/>
  <c r="I152" i="3"/>
  <c r="G152" i="3"/>
  <c r="R145" i="3"/>
  <c r="Q145" i="3"/>
  <c r="P145" i="3"/>
  <c r="O145" i="3"/>
  <c r="N145" i="3"/>
  <c r="M145" i="3"/>
  <c r="L145" i="3"/>
  <c r="K145" i="3"/>
  <c r="J145" i="3"/>
  <c r="I145" i="3"/>
  <c r="G145" i="3"/>
  <c r="L138" i="3"/>
  <c r="K138" i="3"/>
  <c r="J138" i="3"/>
  <c r="I138" i="3"/>
  <c r="G138" i="3"/>
  <c r="R138" i="3"/>
  <c r="Q138" i="3"/>
  <c r="P138" i="3"/>
  <c r="O138" i="3"/>
  <c r="N138" i="3"/>
  <c r="M138" i="3"/>
  <c r="R131" i="3"/>
  <c r="Q131" i="3"/>
  <c r="P131" i="3"/>
  <c r="O131" i="3"/>
  <c r="N131" i="3"/>
  <c r="M131" i="3"/>
  <c r="K131" i="3"/>
  <c r="J131" i="3"/>
  <c r="I131" i="3"/>
  <c r="H131" i="3"/>
  <c r="G131" i="3"/>
  <c r="R125" i="3"/>
  <c r="Q125" i="3"/>
  <c r="P125" i="3"/>
  <c r="O125" i="3"/>
  <c r="N125" i="3"/>
  <c r="M125" i="3"/>
  <c r="L125" i="3"/>
  <c r="K125" i="3"/>
  <c r="J125" i="3"/>
  <c r="I125" i="3"/>
  <c r="H125" i="3"/>
  <c r="G125" i="3"/>
  <c r="R119" i="3"/>
  <c r="Q119" i="3"/>
  <c r="P119" i="3"/>
  <c r="O119" i="3"/>
  <c r="N119" i="3"/>
  <c r="M119" i="3"/>
  <c r="L119" i="3"/>
  <c r="K119" i="3"/>
  <c r="J119" i="3"/>
  <c r="I119" i="3"/>
  <c r="H119" i="3"/>
  <c r="R113" i="3"/>
  <c r="Q113" i="3"/>
  <c r="P113" i="3"/>
  <c r="O113" i="3"/>
  <c r="N113" i="3"/>
  <c r="M113" i="3"/>
  <c r="L113" i="3"/>
  <c r="K113" i="3"/>
  <c r="J113" i="3"/>
  <c r="I113" i="3"/>
  <c r="H113" i="3"/>
  <c r="R107" i="3"/>
  <c r="Q107" i="3"/>
  <c r="P107" i="3"/>
  <c r="O107" i="3"/>
  <c r="N107" i="3"/>
  <c r="M107" i="3"/>
  <c r="L107" i="3"/>
  <c r="K107" i="3"/>
  <c r="J107" i="3"/>
  <c r="I107" i="3"/>
  <c r="H107" i="3"/>
  <c r="R101" i="3"/>
  <c r="Q101" i="3"/>
  <c r="P101" i="3"/>
  <c r="O101" i="3"/>
  <c r="N101" i="3"/>
  <c r="M101" i="3"/>
  <c r="L101" i="3"/>
  <c r="K101" i="3"/>
  <c r="J101" i="3"/>
  <c r="I101" i="3"/>
  <c r="H101" i="3"/>
  <c r="R95" i="3"/>
  <c r="Q95" i="3"/>
  <c r="P95" i="3"/>
  <c r="O95" i="3"/>
  <c r="N95" i="3"/>
  <c r="M95" i="3"/>
  <c r="L95" i="3"/>
  <c r="K95" i="3"/>
  <c r="J95" i="3"/>
  <c r="I95" i="3"/>
  <c r="H95" i="3"/>
  <c r="R89" i="3"/>
  <c r="Q89" i="3"/>
  <c r="P89" i="3"/>
  <c r="O89" i="3"/>
  <c r="N89" i="3"/>
  <c r="M89" i="3"/>
  <c r="L89" i="3"/>
  <c r="K89" i="3"/>
  <c r="J89" i="3"/>
  <c r="I89" i="3"/>
  <c r="H89" i="3"/>
  <c r="G119" i="3"/>
  <c r="G113" i="3"/>
  <c r="G107" i="3"/>
  <c r="G101" i="3"/>
  <c r="G95" i="3"/>
  <c r="G89" i="3"/>
  <c r="R83" i="3"/>
  <c r="Q83" i="3"/>
  <c r="P83" i="3"/>
  <c r="O83" i="3"/>
  <c r="N83" i="3"/>
  <c r="M83" i="3"/>
  <c r="L83" i="3"/>
  <c r="K83" i="3"/>
  <c r="J83" i="3"/>
  <c r="I83" i="3"/>
  <c r="H83" i="3"/>
  <c r="G83" i="3"/>
  <c r="R77" i="3"/>
  <c r="Q77" i="3"/>
  <c r="P77" i="3"/>
  <c r="O77" i="3"/>
  <c r="N77" i="3"/>
  <c r="M77" i="3"/>
  <c r="L77" i="3"/>
  <c r="K77" i="3"/>
  <c r="J77" i="3"/>
  <c r="I77" i="3"/>
  <c r="H77" i="3"/>
  <c r="G77" i="3"/>
  <c r="R71" i="3"/>
  <c r="Q71" i="3"/>
  <c r="P71" i="3"/>
  <c r="O71" i="3"/>
  <c r="N71" i="3"/>
  <c r="M71" i="3"/>
  <c r="L71" i="3"/>
  <c r="K71" i="3"/>
  <c r="J71" i="3"/>
  <c r="I71" i="3"/>
  <c r="H71" i="3"/>
  <c r="G71" i="3"/>
  <c r="R65" i="3"/>
  <c r="Q65" i="3"/>
  <c r="P65" i="3"/>
  <c r="O65" i="3"/>
  <c r="N65" i="3"/>
  <c r="M65" i="3"/>
  <c r="L65" i="3"/>
  <c r="K65" i="3"/>
  <c r="J65" i="3"/>
  <c r="I65" i="3"/>
  <c r="H65" i="3"/>
  <c r="G65" i="3"/>
  <c r="R59" i="3"/>
  <c r="Q59" i="3"/>
  <c r="P59" i="3"/>
  <c r="O59" i="3"/>
  <c r="N59" i="3"/>
  <c r="M59" i="3"/>
  <c r="L59" i="3"/>
  <c r="K59" i="3"/>
  <c r="J59" i="3"/>
  <c r="I59" i="3"/>
  <c r="H59" i="3"/>
  <c r="G59" i="3"/>
  <c r="R53" i="3"/>
  <c r="Q53" i="3"/>
  <c r="P53" i="3"/>
  <c r="O53" i="3"/>
  <c r="N53" i="3"/>
  <c r="M53" i="3"/>
  <c r="L53" i="3"/>
  <c r="K53" i="3"/>
  <c r="J53" i="3"/>
  <c r="I53" i="3"/>
  <c r="H53" i="3"/>
  <c r="G53" i="3"/>
  <c r="R47" i="3"/>
  <c r="Q47" i="3"/>
  <c r="P47" i="3"/>
  <c r="O47" i="3"/>
  <c r="N47" i="3"/>
  <c r="M47" i="3"/>
  <c r="L47" i="3"/>
  <c r="K47" i="3"/>
  <c r="J47" i="3"/>
  <c r="I47" i="3"/>
  <c r="H47" i="3"/>
  <c r="G47" i="3"/>
  <c r="R41" i="3"/>
  <c r="Q41" i="3"/>
  <c r="P41" i="3"/>
  <c r="O41" i="3"/>
  <c r="N41" i="3"/>
  <c r="M41" i="3"/>
  <c r="L41" i="3"/>
  <c r="K41" i="3"/>
  <c r="J41" i="3"/>
  <c r="I41" i="3"/>
  <c r="H41" i="3"/>
  <c r="G41" i="3"/>
  <c r="R35" i="3"/>
  <c r="Q35" i="3"/>
  <c r="P35" i="3"/>
  <c r="O35" i="3"/>
  <c r="N35" i="3"/>
  <c r="M35" i="3"/>
  <c r="L35" i="3"/>
  <c r="K35" i="3"/>
  <c r="J35" i="3"/>
  <c r="I35" i="3"/>
  <c r="H35" i="3"/>
  <c r="G35" i="3"/>
  <c r="R29" i="3"/>
  <c r="Q29" i="3"/>
  <c r="P29" i="3"/>
  <c r="O29" i="3"/>
  <c r="N29" i="3"/>
  <c r="M29" i="3"/>
  <c r="L29" i="3"/>
  <c r="K29" i="3"/>
  <c r="J29" i="3"/>
  <c r="I29" i="3"/>
  <c r="H29" i="3"/>
  <c r="G29" i="3"/>
  <c r="R23" i="3"/>
  <c r="Q23" i="3"/>
  <c r="P23" i="3"/>
  <c r="O23" i="3"/>
  <c r="N23" i="3"/>
  <c r="M23" i="3"/>
  <c r="L23" i="3"/>
  <c r="K23" i="3"/>
  <c r="J23" i="3"/>
  <c r="I23" i="3"/>
  <c r="H23" i="3"/>
  <c r="G23" i="3"/>
  <c r="H133" i="3" l="1"/>
  <c r="O96" i="3"/>
  <c r="K120" i="3"/>
  <c r="G133" i="3"/>
  <c r="K133" i="3"/>
  <c r="G147" i="3"/>
  <c r="K147" i="3"/>
  <c r="O147" i="3"/>
  <c r="G154" i="3"/>
  <c r="O154" i="3"/>
  <c r="G161" i="3"/>
  <c r="K161" i="3"/>
  <c r="G168" i="3"/>
  <c r="P120" i="3"/>
  <c r="H24" i="3"/>
  <c r="L24" i="3"/>
  <c r="P24" i="3"/>
  <c r="H96" i="3"/>
  <c r="L133" i="3"/>
  <c r="L147" i="3"/>
  <c r="P147" i="3"/>
  <c r="L154" i="3"/>
  <c r="P154" i="3"/>
  <c r="L161" i="3"/>
  <c r="P161" i="3"/>
  <c r="P18" i="3"/>
  <c r="M126" i="3"/>
  <c r="I133" i="3"/>
  <c r="Q133" i="3"/>
  <c r="Q154" i="3"/>
  <c r="Q161" i="3"/>
  <c r="J96" i="3"/>
  <c r="R96" i="3"/>
  <c r="J120" i="3"/>
  <c r="N120" i="3"/>
  <c r="R120" i="3"/>
  <c r="R126" i="3"/>
  <c r="N133" i="3"/>
  <c r="N147" i="3"/>
  <c r="J154" i="3"/>
  <c r="R18" i="3"/>
  <c r="Q120" i="3"/>
  <c r="Q126" i="3"/>
  <c r="M133" i="3"/>
  <c r="M147" i="3"/>
  <c r="I154" i="3"/>
  <c r="I161" i="3"/>
  <c r="R133" i="3"/>
  <c r="H126" i="3"/>
  <c r="J133" i="3"/>
  <c r="H30" i="3"/>
  <c r="L30" i="3"/>
  <c r="P30" i="3"/>
  <c r="L36" i="3"/>
  <c r="P36" i="3"/>
  <c r="L42" i="3"/>
  <c r="H48" i="3"/>
  <c r="L48" i="3"/>
  <c r="P48" i="3"/>
  <c r="H54" i="3"/>
  <c r="L54" i="3"/>
  <c r="P54" i="3"/>
  <c r="L66" i="3"/>
  <c r="L78" i="3"/>
  <c r="P78" i="3"/>
  <c r="H84" i="3"/>
  <c r="L84" i="3"/>
  <c r="P84" i="3"/>
  <c r="O72" i="3"/>
  <c r="G114" i="3"/>
  <c r="K102" i="3"/>
  <c r="O102" i="3"/>
  <c r="P126" i="3"/>
  <c r="J114" i="3"/>
  <c r="R114" i="3"/>
  <c r="O90" i="3"/>
  <c r="O126" i="3"/>
  <c r="O133" i="3"/>
  <c r="O161" i="3"/>
  <c r="K126" i="3"/>
  <c r="K154" i="3"/>
  <c r="K108" i="3"/>
  <c r="O108" i="3"/>
  <c r="M175" i="3"/>
  <c r="Q175" i="3"/>
  <c r="L96" i="3"/>
  <c r="P96" i="3"/>
  <c r="I24" i="3"/>
  <c r="M24" i="3"/>
  <c r="Q24" i="3"/>
  <c r="H108" i="3"/>
  <c r="L108" i="3"/>
  <c r="N108" i="3"/>
  <c r="L175" i="3"/>
  <c r="P175" i="3"/>
  <c r="H102" i="3"/>
  <c r="L102" i="3"/>
  <c r="P102" i="3"/>
  <c r="K114" i="3"/>
  <c r="O48" i="3"/>
  <c r="O114" i="3"/>
  <c r="O120" i="3"/>
  <c r="J147" i="3"/>
  <c r="K66" i="3"/>
  <c r="O66" i="3"/>
  <c r="K72" i="3"/>
  <c r="K78" i="3"/>
  <c r="O78" i="3"/>
  <c r="K84" i="3"/>
  <c r="O84" i="3"/>
  <c r="K90" i="3"/>
  <c r="H36" i="3"/>
  <c r="H78" i="3"/>
  <c r="P108" i="3"/>
  <c r="L126" i="3"/>
  <c r="K30" i="3"/>
  <c r="O30" i="3"/>
  <c r="K36" i="3"/>
  <c r="O36" i="3"/>
  <c r="K42" i="3"/>
  <c r="O42" i="3"/>
  <c r="K48" i="3"/>
  <c r="K54" i="3"/>
  <c r="O54" i="3"/>
  <c r="K60" i="3"/>
  <c r="O60" i="3"/>
  <c r="H114" i="3"/>
  <c r="L114" i="3"/>
  <c r="P114" i="3"/>
  <c r="J24" i="3"/>
  <c r="I30" i="3"/>
  <c r="M30" i="3"/>
  <c r="Q30" i="3"/>
  <c r="I36" i="3"/>
  <c r="M36" i="3"/>
  <c r="Q36" i="3"/>
  <c r="I42" i="3"/>
  <c r="M42" i="3"/>
  <c r="Q42" i="3"/>
  <c r="M54" i="3"/>
  <c r="Q54" i="3"/>
  <c r="M60" i="3"/>
  <c r="I90" i="3"/>
  <c r="M90" i="3"/>
  <c r="Q90" i="3"/>
  <c r="I102" i="3"/>
  <c r="M102" i="3"/>
  <c r="Q102" i="3"/>
  <c r="M108" i="3"/>
  <c r="M114" i="3"/>
  <c r="Q114" i="3"/>
  <c r="K175" i="3"/>
  <c r="O175" i="3"/>
  <c r="I147" i="3"/>
  <c r="Q147" i="3"/>
  <c r="M161" i="3"/>
  <c r="R147" i="3"/>
  <c r="N161" i="3"/>
  <c r="R24" i="3"/>
  <c r="N24" i="3"/>
  <c r="M72" i="3"/>
  <c r="M96" i="3"/>
  <c r="I120" i="3"/>
  <c r="G24" i="3"/>
  <c r="O24" i="3"/>
  <c r="Q18" i="3"/>
  <c r="I60" i="3"/>
  <c r="Q60" i="3"/>
  <c r="I72" i="3"/>
  <c r="Q72" i="3"/>
  <c r="I96" i="3"/>
  <c r="M120" i="3"/>
  <c r="K24" i="3"/>
  <c r="M154" i="3"/>
  <c r="N154" i="3"/>
  <c r="R154" i="3"/>
  <c r="J161" i="3"/>
  <c r="R161" i="3"/>
  <c r="N102" i="3"/>
  <c r="O18" i="3"/>
  <c r="G60" i="3"/>
  <c r="K96" i="3"/>
  <c r="G126" i="3"/>
  <c r="I175" i="3"/>
  <c r="I126" i="3"/>
  <c r="Q96" i="3"/>
  <c r="I114" i="3"/>
  <c r="J60" i="3"/>
  <c r="R60" i="3"/>
  <c r="N96" i="3"/>
  <c r="R102" i="3"/>
  <c r="I66" i="3"/>
  <c r="M66" i="3"/>
  <c r="Q66" i="3"/>
  <c r="H42" i="3"/>
  <c r="P42" i="3"/>
  <c r="H66" i="3"/>
  <c r="P66" i="3"/>
  <c r="L90" i="3"/>
  <c r="H120" i="3"/>
  <c r="L120" i="3"/>
  <c r="P133" i="3"/>
  <c r="J175" i="3"/>
  <c r="N175" i="3"/>
  <c r="R175" i="3"/>
  <c r="G175" i="3"/>
  <c r="N126" i="3"/>
  <c r="G120" i="3"/>
  <c r="N114" i="3"/>
  <c r="J108" i="3"/>
  <c r="R108" i="3"/>
  <c r="I108" i="3"/>
  <c r="Q108" i="3"/>
  <c r="G108" i="3"/>
  <c r="J102" i="3"/>
  <c r="G102" i="3"/>
  <c r="G96" i="3"/>
  <c r="H90" i="3"/>
  <c r="P90" i="3"/>
  <c r="J90" i="3"/>
  <c r="N90" i="3"/>
  <c r="R90" i="3"/>
  <c r="G90" i="3"/>
  <c r="J84" i="3"/>
  <c r="N84" i="3"/>
  <c r="R84" i="3"/>
  <c r="I84" i="3"/>
  <c r="M84" i="3"/>
  <c r="Q84" i="3"/>
  <c r="G84" i="3"/>
  <c r="J78" i="3"/>
  <c r="N78" i="3"/>
  <c r="R78" i="3"/>
  <c r="I78" i="3"/>
  <c r="M78" i="3"/>
  <c r="Q78" i="3"/>
  <c r="G78" i="3"/>
  <c r="J72" i="3"/>
  <c r="N72" i="3"/>
  <c r="R72" i="3"/>
  <c r="H72" i="3"/>
  <c r="L72" i="3"/>
  <c r="P72" i="3"/>
  <c r="G72" i="3"/>
  <c r="J66" i="3"/>
  <c r="N66" i="3"/>
  <c r="R66" i="3"/>
  <c r="G66" i="3"/>
  <c r="N60" i="3"/>
  <c r="H60" i="3"/>
  <c r="L60" i="3"/>
  <c r="P60" i="3"/>
  <c r="J54" i="3"/>
  <c r="N54" i="3"/>
  <c r="R54" i="3"/>
  <c r="I54" i="3"/>
  <c r="G54" i="3"/>
  <c r="J48" i="3"/>
  <c r="N48" i="3"/>
  <c r="R48" i="3"/>
  <c r="I48" i="3"/>
  <c r="M48" i="3"/>
  <c r="Q48" i="3"/>
  <c r="G48" i="3"/>
  <c r="J42" i="3"/>
  <c r="N42" i="3"/>
  <c r="R42" i="3"/>
  <c r="G42" i="3"/>
  <c r="N36" i="3"/>
  <c r="R36" i="3"/>
  <c r="J36" i="3"/>
  <c r="G36" i="3"/>
  <c r="J30" i="3"/>
  <c r="R30" i="3"/>
  <c r="N30" i="3"/>
  <c r="G30" i="3"/>
  <c r="S18" i="3" l="1"/>
  <c r="C6" i="2" l="1"/>
  <c r="D7" i="3"/>
  <c r="S11" i="3" l="1"/>
  <c r="R11" i="3"/>
  <c r="U11" i="3" s="1"/>
  <c r="Q11" i="3"/>
  <c r="H11" i="3" l="1"/>
  <c r="I11" i="3" s="1"/>
  <c r="V11" i="3"/>
  <c r="T11" i="3"/>
  <c r="R165" i="3"/>
  <c r="R168" i="3" s="1"/>
  <c r="Q165" i="3"/>
  <c r="Q168" i="3" s="1"/>
  <c r="P165" i="3"/>
  <c r="P168" i="3" s="1"/>
  <c r="O165" i="3"/>
  <c r="O168" i="3" s="1"/>
  <c r="N165" i="3"/>
  <c r="N168" i="3" s="1"/>
  <c r="M165" i="3"/>
  <c r="M168" i="3" s="1"/>
  <c r="L165" i="3"/>
  <c r="L168" i="3" s="1"/>
  <c r="K165" i="3"/>
  <c r="K168" i="3" s="1"/>
  <c r="J165" i="3"/>
  <c r="J168" i="3" s="1"/>
  <c r="I165" i="3"/>
  <c r="I168" i="3" s="1"/>
  <c r="J126" i="3"/>
  <c r="S133" i="3" l="1"/>
  <c r="O19" i="3"/>
  <c r="P19" i="3" s="1"/>
  <c r="Q19" i="3" s="1"/>
  <c r="R19" i="3" s="1"/>
  <c r="L140" i="3"/>
  <c r="R140" i="3"/>
  <c r="I140" i="3"/>
  <c r="M140" i="3"/>
  <c r="Q140" i="3"/>
  <c r="G140" i="3"/>
  <c r="O140" i="3"/>
  <c r="J140" i="3"/>
  <c r="N140" i="3"/>
  <c r="S113" i="3"/>
  <c r="S65" i="3"/>
  <c r="S64" i="3"/>
  <c r="S35" i="3"/>
  <c r="S23" i="3"/>
  <c r="P140" i="3"/>
  <c r="S17" i="3"/>
  <c r="S119" i="3"/>
  <c r="K140" i="3"/>
  <c r="S29" i="3"/>
  <c r="S88" i="3"/>
  <c r="S89" i="3"/>
  <c r="S125" i="3"/>
  <c r="S58" i="3"/>
  <c r="S34" i="3"/>
  <c r="S59" i="3"/>
  <c r="S82" i="3"/>
  <c r="S28" i="3"/>
  <c r="S16" i="3"/>
  <c r="S22" i="3"/>
  <c r="S40" i="3"/>
  <c r="S41" i="3"/>
  <c r="S52" i="3"/>
  <c r="S106" i="3"/>
  <c r="S118" i="3"/>
  <c r="S76" i="3"/>
  <c r="S83" i="3"/>
  <c r="S100" i="3"/>
  <c r="S107" i="3"/>
  <c r="S46" i="3"/>
  <c r="S53" i="3"/>
  <c r="S70" i="3"/>
  <c r="S77" i="3"/>
  <c r="S94" i="3"/>
  <c r="S101" i="3"/>
  <c r="S112" i="3"/>
  <c r="S47" i="3"/>
  <c r="S71" i="3"/>
  <c r="S95" i="3"/>
  <c r="S124" i="3"/>
  <c r="G202" i="3" l="1"/>
  <c r="T134" i="3"/>
  <c r="S36" i="3"/>
  <c r="S96" i="3"/>
  <c r="S102" i="3"/>
  <c r="T115" i="3"/>
  <c r="T97" i="3"/>
  <c r="S114" i="3"/>
  <c r="S72" i="3"/>
  <c r="T103" i="3"/>
  <c r="T91" i="3"/>
  <c r="S78" i="3"/>
  <c r="T73" i="3"/>
  <c r="S90" i="3"/>
  <c r="T37" i="3"/>
  <c r="T79" i="3"/>
  <c r="T67" i="3"/>
  <c r="S66" i="3"/>
  <c r="S48" i="3"/>
  <c r="T55" i="3"/>
  <c r="S54" i="3"/>
  <c r="T49" i="3"/>
  <c r="T19" i="3"/>
  <c r="S42" i="3"/>
  <c r="T141" i="3"/>
  <c r="T109" i="3"/>
  <c r="S84" i="3"/>
  <c r="T61" i="3"/>
  <c r="S120" i="3"/>
  <c r="T43" i="3"/>
  <c r="S24" i="3"/>
  <c r="T25" i="3"/>
  <c r="S108" i="3"/>
  <c r="T121" i="3"/>
  <c r="S60" i="3"/>
  <c r="S126" i="3"/>
  <c r="T127" i="3"/>
  <c r="T85" i="3"/>
  <c r="S30" i="3"/>
  <c r="T31" i="3"/>
  <c r="H201" i="3" l="1"/>
  <c r="H202" i="3" s="1"/>
  <c r="P20" i="3"/>
  <c r="T116" i="3"/>
  <c r="O20" i="3"/>
  <c r="T56" i="3"/>
  <c r="T68" i="3"/>
  <c r="T50" i="3"/>
  <c r="T38" i="3"/>
  <c r="T110" i="3"/>
  <c r="T32" i="3"/>
  <c r="T44" i="3"/>
  <c r="T20" i="3"/>
  <c r="T26" i="3"/>
  <c r="T122" i="3"/>
  <c r="T86" i="3"/>
  <c r="T62" i="3"/>
  <c r="T80" i="3"/>
  <c r="T74" i="3"/>
  <c r="T92" i="3"/>
  <c r="T142" i="3"/>
  <c r="T135" i="3"/>
  <c r="T104" i="3"/>
  <c r="T98" i="3"/>
  <c r="T128" i="3"/>
  <c r="I201" i="3" l="1"/>
  <c r="I202" i="3" s="1"/>
  <c r="Q20" i="3"/>
  <c r="J201" i="3" l="1"/>
  <c r="J202" i="3" s="1"/>
  <c r="R20" i="3"/>
  <c r="M29" i="2"/>
  <c r="M28" i="2"/>
  <c r="Q28" i="2" s="1"/>
  <c r="M26" i="2"/>
  <c r="Q22" i="2"/>
  <c r="L14" i="2"/>
  <c r="K14" i="2"/>
  <c r="I14" i="2"/>
  <c r="L13" i="2"/>
  <c r="K13" i="2"/>
  <c r="I13" i="2"/>
  <c r="L11" i="2"/>
  <c r="K11" i="2"/>
  <c r="L9" i="2"/>
  <c r="K9" i="2"/>
  <c r="L8" i="2"/>
  <c r="K8" i="2"/>
  <c r="I8" i="2"/>
  <c r="L7" i="2"/>
  <c r="L12" i="2" s="1"/>
  <c r="K7" i="2"/>
  <c r="K12" i="2" s="1"/>
  <c r="I7" i="2"/>
  <c r="I12" i="2" s="1"/>
  <c r="K201" i="3" l="1"/>
  <c r="K202" i="3" s="1"/>
  <c r="Q26" i="2"/>
  <c r="T26" i="2" s="1"/>
  <c r="W26" i="2" s="1"/>
  <c r="Q24" i="2"/>
  <c r="S20" i="3"/>
  <c r="U19" i="3"/>
  <c r="M30" i="2"/>
  <c r="M42" i="2" s="1"/>
  <c r="Q23" i="2"/>
  <c r="T22" i="2"/>
  <c r="W22" i="2" s="1"/>
  <c r="M27" i="2"/>
  <c r="Q18" i="2" s="1"/>
  <c r="T28" i="2"/>
  <c r="W28" i="2" s="1"/>
  <c r="Q25" i="2"/>
  <c r="T25" i="2" s="1"/>
  <c r="Q29" i="2"/>
  <c r="T29" i="2" s="1"/>
  <c r="V12" i="2" l="1"/>
  <c r="Y12" i="2"/>
  <c r="Y13" i="2" s="1"/>
  <c r="T24" i="2"/>
  <c r="W24" i="2" s="1"/>
  <c r="L201" i="3"/>
  <c r="L202" i="3" s="1"/>
  <c r="G25" i="3"/>
  <c r="H25" i="3" s="1"/>
  <c r="I25" i="3" s="1"/>
  <c r="J25" i="3" s="1"/>
  <c r="K25" i="3" s="1"/>
  <c r="L25" i="3" s="1"/>
  <c r="M25" i="3" s="1"/>
  <c r="N25" i="3" s="1"/>
  <c r="O25" i="3" s="1"/>
  <c r="P25" i="3" s="1"/>
  <c r="Q25" i="3" s="1"/>
  <c r="R25" i="3" s="1"/>
  <c r="M37" i="2"/>
  <c r="M43" i="2" s="1"/>
  <c r="V18" i="2"/>
  <c r="Y18" i="2"/>
  <c r="H37" i="2"/>
  <c r="U20" i="3"/>
  <c r="V19" i="3"/>
  <c r="T30" i="2"/>
  <c r="Q27" i="2"/>
  <c r="M31" i="2"/>
  <c r="Q30" i="2"/>
  <c r="W25" i="2"/>
  <c r="W29" i="2"/>
  <c r="Y19" i="2" l="1"/>
  <c r="M201" i="3"/>
  <c r="M202" i="3" s="1"/>
  <c r="V20" i="3"/>
  <c r="G26" i="3"/>
  <c r="W30" i="2"/>
  <c r="Q31" i="2"/>
  <c r="T27" i="2"/>
  <c r="T31" i="2" s="1"/>
  <c r="N201" i="3" l="1"/>
  <c r="N202" i="3" s="1"/>
  <c r="X37" i="2"/>
  <c r="K26" i="3"/>
  <c r="H26" i="3"/>
  <c r="W27" i="2"/>
  <c r="W31" i="2" s="1"/>
  <c r="O201" i="3" l="1"/>
  <c r="O202" i="3" s="1"/>
  <c r="O37" i="2"/>
  <c r="I26" i="3"/>
  <c r="P201" i="3" l="1"/>
  <c r="P202" i="3" s="1"/>
  <c r="R37" i="2"/>
  <c r="M44" i="2" s="1"/>
  <c r="J26" i="3"/>
  <c r="Q201" i="3" l="1"/>
  <c r="Q202" i="3" s="1"/>
  <c r="M45" i="2"/>
  <c r="M46" i="2" s="1"/>
  <c r="AA37" i="2"/>
  <c r="R44" i="2" s="1"/>
  <c r="R201" i="3" l="1"/>
  <c r="R202" i="3" s="1"/>
  <c r="M47" i="2"/>
  <c r="L26" i="3"/>
  <c r="V37" i="2" l="1"/>
  <c r="G203" i="3"/>
  <c r="G204" i="3" s="1"/>
  <c r="M49" i="2"/>
  <c r="M48" i="2"/>
  <c r="M26" i="3"/>
  <c r="H203" i="3" l="1"/>
  <c r="H204" i="3" s="1"/>
  <c r="N26" i="3"/>
  <c r="I203" i="3" l="1"/>
  <c r="I204" i="3" s="1"/>
  <c r="O26" i="3"/>
  <c r="J203" i="3" l="1"/>
  <c r="J204" i="3" s="1"/>
  <c r="P26" i="3"/>
  <c r="K203" i="3" l="1"/>
  <c r="K204" i="3" s="1"/>
  <c r="Q26" i="3"/>
  <c r="L203" i="3" l="1"/>
  <c r="L204" i="3" s="1"/>
  <c r="R26" i="3"/>
  <c r="M203" i="3" l="1"/>
  <c r="M204" i="3" s="1"/>
  <c r="U25" i="3"/>
  <c r="G31" i="3" s="1"/>
  <c r="H31" i="3" s="1"/>
  <c r="I31" i="3" s="1"/>
  <c r="J31" i="3" s="1"/>
  <c r="K31" i="3" s="1"/>
  <c r="L31" i="3" s="1"/>
  <c r="M31" i="3" s="1"/>
  <c r="N31" i="3" s="1"/>
  <c r="O31" i="3" s="1"/>
  <c r="P31" i="3" s="1"/>
  <c r="Q31" i="3" s="1"/>
  <c r="R31" i="3" s="1"/>
  <c r="S26" i="3"/>
  <c r="N203" i="3" l="1"/>
  <c r="N204" i="3" s="1"/>
  <c r="V25" i="3"/>
  <c r="U26" i="3"/>
  <c r="O203" i="3" l="1"/>
  <c r="O204" i="3" s="1"/>
  <c r="G32" i="3"/>
  <c r="V26" i="3"/>
  <c r="P203" i="3" l="1"/>
  <c r="P204" i="3" s="1"/>
  <c r="H32" i="3"/>
  <c r="Q203" i="3" l="1"/>
  <c r="Q204" i="3" s="1"/>
  <c r="I32" i="3"/>
  <c r="R203" i="3" l="1"/>
  <c r="R204" i="3" s="1"/>
  <c r="J32" i="3"/>
  <c r="G205" i="3" l="1"/>
  <c r="G206" i="3" s="1"/>
  <c r="K32" i="3"/>
  <c r="H205" i="3" l="1"/>
  <c r="H206" i="3" s="1"/>
  <c r="L32" i="3"/>
  <c r="I205" i="3" l="1"/>
  <c r="I206" i="3" s="1"/>
  <c r="M32" i="3"/>
  <c r="J205" i="3" l="1"/>
  <c r="J206" i="3" s="1"/>
  <c r="N32" i="3"/>
  <c r="K205" i="3" l="1"/>
  <c r="K206" i="3" s="1"/>
  <c r="O32" i="3"/>
  <c r="L205" i="3" l="1"/>
  <c r="L206" i="3" s="1"/>
  <c r="P32" i="3"/>
  <c r="M205" i="3" l="1"/>
  <c r="M206" i="3" s="1"/>
  <c r="Q32" i="3"/>
  <c r="N205" i="3" l="1"/>
  <c r="N206" i="3" s="1"/>
  <c r="R32" i="3"/>
  <c r="O205" i="3" l="1"/>
  <c r="O206" i="3" s="1"/>
  <c r="U31" i="3"/>
  <c r="S32" i="3"/>
  <c r="P205" i="3" l="1"/>
  <c r="P206" i="3" s="1"/>
  <c r="G37" i="3"/>
  <c r="H37" i="3" s="1"/>
  <c r="I37" i="3" s="1"/>
  <c r="J37" i="3" s="1"/>
  <c r="K37" i="3" s="1"/>
  <c r="L37" i="3" s="1"/>
  <c r="M37" i="3" s="1"/>
  <c r="N37" i="3" s="1"/>
  <c r="O37" i="3" s="1"/>
  <c r="P37" i="3" s="1"/>
  <c r="Q37" i="3" s="1"/>
  <c r="R37" i="3" s="1"/>
  <c r="V31" i="3"/>
  <c r="U32" i="3"/>
  <c r="Q205" i="3" l="1"/>
  <c r="Q206" i="3" s="1"/>
  <c r="G38" i="3"/>
  <c r="V32" i="3"/>
  <c r="R205" i="3" l="1"/>
  <c r="R206" i="3" s="1"/>
  <c r="H38" i="3"/>
  <c r="G207" i="3" l="1"/>
  <c r="G208" i="3" s="1"/>
  <c r="I38" i="3"/>
  <c r="H207" i="3" l="1"/>
  <c r="H208" i="3" s="1"/>
  <c r="J38" i="3"/>
  <c r="I207" i="3" l="1"/>
  <c r="I208" i="3" s="1"/>
  <c r="K38" i="3"/>
  <c r="J207" i="3" l="1"/>
  <c r="J208" i="3" s="1"/>
  <c r="L38" i="3"/>
  <c r="K207" i="3" l="1"/>
  <c r="K208" i="3" s="1"/>
  <c r="M38" i="3"/>
  <c r="L207" i="3" l="1"/>
  <c r="L208" i="3" s="1"/>
  <c r="N38" i="3"/>
  <c r="M207" i="3" l="1"/>
  <c r="M208" i="3" s="1"/>
  <c r="O38" i="3"/>
  <c r="N207" i="3" l="1"/>
  <c r="N208" i="3" s="1"/>
  <c r="P38" i="3"/>
  <c r="O207" i="3" l="1"/>
  <c r="O208" i="3" s="1"/>
  <c r="Q38" i="3"/>
  <c r="P207" i="3" l="1"/>
  <c r="P208" i="3" s="1"/>
  <c r="R38" i="3"/>
  <c r="Q207" i="3" l="1"/>
  <c r="Q208" i="3" s="1"/>
  <c r="U37" i="3"/>
  <c r="S38" i="3"/>
  <c r="R207" i="3" l="1"/>
  <c r="R208" i="3" s="1"/>
  <c r="G43" i="3"/>
  <c r="H43" i="3" s="1"/>
  <c r="I43" i="3" s="1"/>
  <c r="J43" i="3" s="1"/>
  <c r="K43" i="3" s="1"/>
  <c r="L43" i="3" s="1"/>
  <c r="M43" i="3" s="1"/>
  <c r="N43" i="3" s="1"/>
  <c r="O43" i="3" s="1"/>
  <c r="P43" i="3" s="1"/>
  <c r="Q43" i="3" s="1"/>
  <c r="R43" i="3" s="1"/>
  <c r="U38" i="3"/>
  <c r="V37" i="3"/>
  <c r="G209" i="3" l="1"/>
  <c r="G210" i="3" s="1"/>
  <c r="V38" i="3"/>
  <c r="G44" i="3"/>
  <c r="H209" i="3" l="1"/>
  <c r="H210" i="3" s="1"/>
  <c r="H44" i="3"/>
  <c r="I209" i="3" l="1"/>
  <c r="I210" i="3" s="1"/>
  <c r="I44" i="3"/>
  <c r="J209" i="3" l="1"/>
  <c r="J210" i="3" s="1"/>
  <c r="J44" i="3"/>
  <c r="K209" i="3" l="1"/>
  <c r="K210" i="3" s="1"/>
  <c r="K44" i="3"/>
  <c r="L209" i="3" l="1"/>
  <c r="L210" i="3" s="1"/>
  <c r="L44" i="3"/>
  <c r="M209" i="3" l="1"/>
  <c r="M210" i="3" s="1"/>
  <c r="M44" i="3"/>
  <c r="N209" i="3" l="1"/>
  <c r="N210" i="3" s="1"/>
  <c r="N44" i="3"/>
  <c r="O209" i="3" l="1"/>
  <c r="O210" i="3" s="1"/>
  <c r="O44" i="3"/>
  <c r="P209" i="3" l="1"/>
  <c r="P210" i="3" s="1"/>
  <c r="P44" i="3"/>
  <c r="Q209" i="3" l="1"/>
  <c r="Q210" i="3" s="1"/>
  <c r="Q44" i="3"/>
  <c r="R209" i="3" l="1"/>
  <c r="R210" i="3" s="1"/>
  <c r="W37" i="2" s="1"/>
  <c r="R44" i="3"/>
  <c r="R42" i="2" l="1"/>
  <c r="R45" i="2" s="1"/>
  <c r="R46" i="2" s="1"/>
  <c r="R47" i="2" s="1"/>
  <c r="R49" i="2" s="1"/>
  <c r="U43" i="3"/>
  <c r="S44" i="3"/>
  <c r="R48" i="2" l="1"/>
  <c r="G49" i="3"/>
  <c r="H49" i="3" s="1"/>
  <c r="I49" i="3" s="1"/>
  <c r="J49" i="3" s="1"/>
  <c r="K49" i="3" s="1"/>
  <c r="L49" i="3" s="1"/>
  <c r="M49" i="3" s="1"/>
  <c r="N49" i="3" s="1"/>
  <c r="O49" i="3" s="1"/>
  <c r="P49" i="3" s="1"/>
  <c r="Q49" i="3" s="1"/>
  <c r="R49" i="3" s="1"/>
  <c r="V43" i="3"/>
  <c r="U44" i="3"/>
  <c r="G50" i="3" l="1"/>
  <c r="V44" i="3"/>
  <c r="H50" i="3" l="1"/>
  <c r="I50" i="3" l="1"/>
  <c r="J50" i="3" l="1"/>
  <c r="K50" i="3" l="1"/>
  <c r="L50" i="3" l="1"/>
  <c r="M50" i="3" l="1"/>
  <c r="N50" i="3" l="1"/>
  <c r="O50" i="3" l="1"/>
  <c r="P50" i="3" l="1"/>
  <c r="Q50" i="3" l="1"/>
  <c r="R50" i="3" l="1"/>
  <c r="U49" i="3" l="1"/>
  <c r="S50" i="3"/>
  <c r="G55" i="3" l="1"/>
  <c r="H55" i="3" s="1"/>
  <c r="I55" i="3" s="1"/>
  <c r="J55" i="3" s="1"/>
  <c r="K55" i="3" s="1"/>
  <c r="L55" i="3" s="1"/>
  <c r="M55" i="3" s="1"/>
  <c r="N55" i="3" s="1"/>
  <c r="O55" i="3" s="1"/>
  <c r="P55" i="3" s="1"/>
  <c r="Q55" i="3" s="1"/>
  <c r="R55" i="3" s="1"/>
  <c r="V49" i="3"/>
  <c r="U50" i="3"/>
  <c r="G56" i="3" l="1"/>
  <c r="V50" i="3"/>
  <c r="H56" i="3" l="1"/>
  <c r="I56" i="3" l="1"/>
  <c r="J56" i="3" l="1"/>
  <c r="K56" i="3" l="1"/>
  <c r="L56" i="3" l="1"/>
  <c r="M56" i="3" l="1"/>
  <c r="N56" i="3" l="1"/>
  <c r="O56" i="3" l="1"/>
  <c r="P56" i="3" l="1"/>
  <c r="Q56" i="3" l="1"/>
  <c r="R56" i="3" l="1"/>
  <c r="U55" i="3" l="1"/>
  <c r="S56" i="3"/>
  <c r="G61" i="3" l="1"/>
  <c r="H61" i="3" s="1"/>
  <c r="I61" i="3" s="1"/>
  <c r="J61" i="3" s="1"/>
  <c r="K61" i="3" s="1"/>
  <c r="L61" i="3" s="1"/>
  <c r="M61" i="3" s="1"/>
  <c r="N61" i="3" s="1"/>
  <c r="O61" i="3" s="1"/>
  <c r="P61" i="3" s="1"/>
  <c r="Q61" i="3" s="1"/>
  <c r="R61" i="3" s="1"/>
  <c r="V55" i="3"/>
  <c r="U56" i="3"/>
  <c r="G62" i="3" l="1"/>
  <c r="V56" i="3"/>
  <c r="H62" i="3" l="1"/>
  <c r="I62" i="3" l="1"/>
  <c r="J62" i="3" l="1"/>
  <c r="K62" i="3" l="1"/>
  <c r="L62" i="3" l="1"/>
  <c r="M62" i="3" l="1"/>
  <c r="N62" i="3" l="1"/>
  <c r="O62" i="3" l="1"/>
  <c r="P62" i="3" l="1"/>
  <c r="Q62" i="3" l="1"/>
  <c r="R62" i="3" l="1"/>
  <c r="U61" i="3" l="1"/>
  <c r="S62" i="3"/>
  <c r="G67" i="3" l="1"/>
  <c r="H67" i="3" s="1"/>
  <c r="I67" i="3" s="1"/>
  <c r="J67" i="3" s="1"/>
  <c r="K67" i="3" s="1"/>
  <c r="L67" i="3" s="1"/>
  <c r="M67" i="3" s="1"/>
  <c r="N67" i="3" s="1"/>
  <c r="O67" i="3" s="1"/>
  <c r="P67" i="3" s="1"/>
  <c r="Q67" i="3" s="1"/>
  <c r="R67" i="3" s="1"/>
  <c r="V61" i="3"/>
  <c r="U62" i="3"/>
  <c r="G68" i="3" l="1"/>
  <c r="V62" i="3"/>
  <c r="H68" i="3" l="1"/>
  <c r="I68" i="3" l="1"/>
  <c r="J68" i="3" l="1"/>
  <c r="K68" i="3" l="1"/>
  <c r="L68" i="3" l="1"/>
  <c r="M68" i="3" l="1"/>
  <c r="N68" i="3" l="1"/>
  <c r="O68" i="3" l="1"/>
  <c r="P68" i="3" l="1"/>
  <c r="Q68" i="3" l="1"/>
  <c r="R68" i="3" l="1"/>
  <c r="U67" i="3" l="1"/>
  <c r="S68" i="3"/>
  <c r="G73" i="3" l="1"/>
  <c r="H73" i="3" s="1"/>
  <c r="I73" i="3" s="1"/>
  <c r="J73" i="3" s="1"/>
  <c r="K73" i="3" s="1"/>
  <c r="L73" i="3" s="1"/>
  <c r="M73" i="3" s="1"/>
  <c r="N73" i="3" s="1"/>
  <c r="O73" i="3" s="1"/>
  <c r="P73" i="3" s="1"/>
  <c r="Q73" i="3" s="1"/>
  <c r="R73" i="3" s="1"/>
  <c r="V67" i="3"/>
  <c r="U68" i="3"/>
  <c r="G74" i="3" l="1"/>
  <c r="V68" i="3"/>
  <c r="H74" i="3" l="1"/>
  <c r="I74" i="3" l="1"/>
  <c r="J74" i="3" l="1"/>
  <c r="K74" i="3" l="1"/>
  <c r="L74" i="3" l="1"/>
  <c r="M74" i="3" l="1"/>
  <c r="N74" i="3" l="1"/>
  <c r="O74" i="3" l="1"/>
  <c r="P74" i="3" l="1"/>
  <c r="Q74" i="3" l="1"/>
  <c r="R74" i="3" l="1"/>
  <c r="U73" i="3" l="1"/>
  <c r="S74" i="3"/>
  <c r="G79" i="3" l="1"/>
  <c r="H79" i="3" s="1"/>
  <c r="I79" i="3" s="1"/>
  <c r="J79" i="3" s="1"/>
  <c r="K79" i="3" s="1"/>
  <c r="L79" i="3" s="1"/>
  <c r="M79" i="3" s="1"/>
  <c r="N79" i="3" s="1"/>
  <c r="O79" i="3" s="1"/>
  <c r="P79" i="3" s="1"/>
  <c r="Q79" i="3" s="1"/>
  <c r="R79" i="3" s="1"/>
  <c r="V73" i="3"/>
  <c r="U74" i="3"/>
  <c r="G80" i="3" l="1"/>
  <c r="V74" i="3"/>
  <c r="H80" i="3" l="1"/>
  <c r="I80" i="3" l="1"/>
  <c r="J80" i="3" l="1"/>
  <c r="K80" i="3" l="1"/>
  <c r="L80" i="3" l="1"/>
  <c r="M80" i="3" l="1"/>
  <c r="N80" i="3" l="1"/>
  <c r="O80" i="3" l="1"/>
  <c r="P80" i="3" l="1"/>
  <c r="Q80" i="3" l="1"/>
  <c r="R80" i="3" l="1"/>
  <c r="S80" i="3" l="1"/>
  <c r="U79" i="3"/>
  <c r="G85" i="3" l="1"/>
  <c r="H85" i="3" s="1"/>
  <c r="I85" i="3" s="1"/>
  <c r="J85" i="3" s="1"/>
  <c r="K85" i="3" s="1"/>
  <c r="L85" i="3" s="1"/>
  <c r="M85" i="3" s="1"/>
  <c r="N85" i="3" s="1"/>
  <c r="O85" i="3" s="1"/>
  <c r="P85" i="3" s="1"/>
  <c r="Q85" i="3" s="1"/>
  <c r="R85" i="3" s="1"/>
  <c r="V79" i="3"/>
  <c r="U80" i="3"/>
  <c r="G86" i="3" l="1"/>
  <c r="V80" i="3"/>
  <c r="H86" i="3" l="1"/>
  <c r="I86" i="3" l="1"/>
  <c r="J86" i="3" l="1"/>
  <c r="K86" i="3" l="1"/>
  <c r="L86" i="3" l="1"/>
  <c r="M86" i="3" l="1"/>
  <c r="N86" i="3" l="1"/>
  <c r="O86" i="3" l="1"/>
  <c r="P86" i="3" l="1"/>
  <c r="Q86" i="3" l="1"/>
  <c r="R86" i="3" l="1"/>
  <c r="S86" i="3" l="1"/>
  <c r="U85" i="3"/>
  <c r="G91" i="3" l="1"/>
  <c r="H91" i="3" s="1"/>
  <c r="I91" i="3" s="1"/>
  <c r="J91" i="3" s="1"/>
  <c r="K91" i="3" s="1"/>
  <c r="L91" i="3" s="1"/>
  <c r="M91" i="3" s="1"/>
  <c r="N91" i="3" s="1"/>
  <c r="O91" i="3" s="1"/>
  <c r="P91" i="3" s="1"/>
  <c r="Q91" i="3" s="1"/>
  <c r="R91" i="3" s="1"/>
  <c r="V85" i="3"/>
  <c r="U86" i="3"/>
  <c r="G92" i="3" l="1"/>
  <c r="V86" i="3"/>
  <c r="H92" i="3" l="1"/>
  <c r="I92" i="3" l="1"/>
  <c r="J92" i="3" l="1"/>
  <c r="K92" i="3" l="1"/>
  <c r="L92" i="3" l="1"/>
  <c r="M92" i="3" l="1"/>
  <c r="N92" i="3" l="1"/>
  <c r="O92" i="3" l="1"/>
  <c r="P92" i="3" l="1"/>
  <c r="Q92" i="3" l="1"/>
  <c r="R92" i="3" l="1"/>
  <c r="S92" i="3" l="1"/>
  <c r="U91" i="3"/>
  <c r="G97" i="3" l="1"/>
  <c r="H97" i="3" s="1"/>
  <c r="I97" i="3" s="1"/>
  <c r="J97" i="3" s="1"/>
  <c r="K97" i="3" s="1"/>
  <c r="L97" i="3" s="1"/>
  <c r="M97" i="3" s="1"/>
  <c r="N97" i="3" s="1"/>
  <c r="O97" i="3" s="1"/>
  <c r="P97" i="3" s="1"/>
  <c r="Q97" i="3" s="1"/>
  <c r="R97" i="3" s="1"/>
  <c r="V91" i="3"/>
  <c r="U92" i="3"/>
  <c r="G98" i="3" l="1"/>
  <c r="V92" i="3"/>
  <c r="H98" i="3" l="1"/>
  <c r="I98" i="3" l="1"/>
  <c r="J98" i="3" l="1"/>
  <c r="K98" i="3" l="1"/>
  <c r="L98" i="3" l="1"/>
  <c r="M98" i="3" l="1"/>
  <c r="N98" i="3" l="1"/>
  <c r="O98" i="3" l="1"/>
  <c r="P98" i="3" l="1"/>
  <c r="Q98" i="3" l="1"/>
  <c r="R98" i="3" l="1"/>
  <c r="U97" i="3" l="1"/>
  <c r="S98" i="3"/>
  <c r="G103" i="3" l="1"/>
  <c r="H103" i="3" s="1"/>
  <c r="I103" i="3" s="1"/>
  <c r="J103" i="3" s="1"/>
  <c r="K103" i="3" s="1"/>
  <c r="L103" i="3" s="1"/>
  <c r="M103" i="3" s="1"/>
  <c r="N103" i="3" s="1"/>
  <c r="O103" i="3" s="1"/>
  <c r="P103" i="3" s="1"/>
  <c r="Q103" i="3" s="1"/>
  <c r="R103" i="3" s="1"/>
  <c r="V97" i="3"/>
  <c r="U98" i="3"/>
  <c r="G104" i="3" l="1"/>
  <c r="V98" i="3"/>
  <c r="H104" i="3" l="1"/>
  <c r="I104" i="3" l="1"/>
  <c r="J104" i="3" l="1"/>
  <c r="K104" i="3" l="1"/>
  <c r="L104" i="3" l="1"/>
  <c r="M104" i="3" l="1"/>
  <c r="N104" i="3" l="1"/>
  <c r="O104" i="3" l="1"/>
  <c r="P104" i="3" l="1"/>
  <c r="Q104" i="3" l="1"/>
  <c r="R104" i="3" l="1"/>
  <c r="U103" i="3" l="1"/>
  <c r="S104" i="3"/>
  <c r="G109" i="3" l="1"/>
  <c r="H109" i="3" s="1"/>
  <c r="I109" i="3" s="1"/>
  <c r="J109" i="3" s="1"/>
  <c r="K109" i="3" s="1"/>
  <c r="L109" i="3" s="1"/>
  <c r="M109" i="3" s="1"/>
  <c r="N109" i="3" s="1"/>
  <c r="O109" i="3" s="1"/>
  <c r="P109" i="3" s="1"/>
  <c r="Q109" i="3" s="1"/>
  <c r="R109" i="3" s="1"/>
  <c r="V103" i="3"/>
  <c r="U104" i="3"/>
  <c r="G110" i="3" l="1"/>
  <c r="V104" i="3"/>
  <c r="H110" i="3" l="1"/>
  <c r="I110" i="3" l="1"/>
  <c r="J110" i="3" l="1"/>
  <c r="K110" i="3" l="1"/>
  <c r="L110" i="3" l="1"/>
  <c r="M110" i="3" l="1"/>
  <c r="N110" i="3" l="1"/>
  <c r="O110" i="3" l="1"/>
  <c r="P110" i="3" l="1"/>
  <c r="Q110" i="3" l="1"/>
  <c r="R110" i="3" l="1"/>
  <c r="S110" i="3" l="1"/>
  <c r="U109" i="3"/>
  <c r="G115" i="3" l="1"/>
  <c r="H115" i="3" s="1"/>
  <c r="I115" i="3" s="1"/>
  <c r="J115" i="3" s="1"/>
  <c r="K115" i="3" s="1"/>
  <c r="L115" i="3" s="1"/>
  <c r="M115" i="3" s="1"/>
  <c r="N115" i="3" s="1"/>
  <c r="O115" i="3" s="1"/>
  <c r="P115" i="3" s="1"/>
  <c r="Q115" i="3" s="1"/>
  <c r="R115" i="3" s="1"/>
  <c r="V109" i="3"/>
  <c r="U110" i="3"/>
  <c r="G116" i="3" l="1"/>
  <c r="H116" i="3"/>
  <c r="V110" i="3"/>
  <c r="I116" i="3" l="1"/>
  <c r="J116" i="3" l="1"/>
  <c r="K116" i="3" l="1"/>
  <c r="L116" i="3" l="1"/>
  <c r="M116" i="3" l="1"/>
  <c r="N116" i="3" l="1"/>
  <c r="O116" i="3" l="1"/>
  <c r="P116" i="3" l="1"/>
  <c r="Q116" i="3" l="1"/>
  <c r="R116" i="3" l="1"/>
  <c r="S116" i="3" l="1"/>
  <c r="U115" i="3"/>
  <c r="G121" i="3" l="1"/>
  <c r="H121" i="3" s="1"/>
  <c r="I121" i="3" s="1"/>
  <c r="J121" i="3" s="1"/>
  <c r="K121" i="3" s="1"/>
  <c r="L121" i="3" s="1"/>
  <c r="M121" i="3" s="1"/>
  <c r="N121" i="3" s="1"/>
  <c r="O121" i="3" s="1"/>
  <c r="P121" i="3" s="1"/>
  <c r="Q121" i="3" s="1"/>
  <c r="R121" i="3" s="1"/>
  <c r="U116" i="3"/>
  <c r="V115" i="3"/>
  <c r="V116" i="3" l="1"/>
  <c r="G122" i="3"/>
  <c r="H122" i="3" l="1"/>
  <c r="I122" i="3" l="1"/>
  <c r="J122" i="3" l="1"/>
  <c r="K122" i="3" l="1"/>
  <c r="L122" i="3" l="1"/>
  <c r="M122" i="3" l="1"/>
  <c r="N122" i="3" l="1"/>
  <c r="O122" i="3" l="1"/>
  <c r="P122" i="3" l="1"/>
  <c r="Q122" i="3" l="1"/>
  <c r="R122" i="3" l="1"/>
  <c r="U121" i="3" l="1"/>
  <c r="S122" i="3"/>
  <c r="G127" i="3" l="1"/>
  <c r="H127" i="3" s="1"/>
  <c r="I127" i="3" s="1"/>
  <c r="J127" i="3" s="1"/>
  <c r="K127" i="3" s="1"/>
  <c r="L127" i="3" s="1"/>
  <c r="M127" i="3" s="1"/>
  <c r="N127" i="3" s="1"/>
  <c r="O127" i="3" s="1"/>
  <c r="P127" i="3" s="1"/>
  <c r="Q127" i="3" s="1"/>
  <c r="R127" i="3" s="1"/>
  <c r="V121" i="3"/>
  <c r="U122" i="3"/>
  <c r="G128" i="3" l="1"/>
  <c r="V122" i="3"/>
  <c r="H128" i="3" l="1"/>
  <c r="T148" i="3" l="1"/>
  <c r="I128" i="3"/>
  <c r="T149" i="3" l="1"/>
  <c r="J128" i="3"/>
  <c r="K128" i="3" l="1"/>
  <c r="L128" i="3" l="1"/>
  <c r="M128" i="3" l="1"/>
  <c r="N128" i="3" l="1"/>
  <c r="O128" i="3" l="1"/>
  <c r="P128" i="3" l="1"/>
  <c r="Q128" i="3" l="1"/>
  <c r="R128" i="3" l="1"/>
  <c r="U127" i="3" s="1"/>
  <c r="G134" i="3" l="1"/>
  <c r="S128" i="3"/>
  <c r="H134" i="3" l="1"/>
  <c r="H135" i="3" s="1"/>
  <c r="V127" i="3"/>
  <c r="U128" i="3"/>
  <c r="I134" i="3" l="1"/>
  <c r="J134" i="3" s="1"/>
  <c r="K134" i="3" s="1"/>
  <c r="L134" i="3" s="1"/>
  <c r="M134" i="3" s="1"/>
  <c r="N134" i="3" s="1"/>
  <c r="O134" i="3" s="1"/>
  <c r="P134" i="3" s="1"/>
  <c r="Q134" i="3" s="1"/>
  <c r="R134" i="3" s="1"/>
  <c r="G135" i="3"/>
  <c r="V128" i="3"/>
  <c r="I135" i="3" l="1"/>
  <c r="J135" i="3" l="1"/>
  <c r="K135" i="3" l="1"/>
  <c r="L135" i="3" l="1"/>
  <c r="M135" i="3" l="1"/>
  <c r="N135" i="3" l="1"/>
  <c r="O135" i="3" l="1"/>
  <c r="P135" i="3" l="1"/>
  <c r="Q135" i="3" l="1"/>
  <c r="R135" i="3" l="1"/>
  <c r="U134" i="3" l="1"/>
  <c r="G141" i="3" l="1"/>
  <c r="V134" i="3"/>
  <c r="U135" i="3"/>
  <c r="H141" i="3" l="1"/>
  <c r="H142" i="3" s="1"/>
  <c r="G142" i="3"/>
  <c r="V135" i="3"/>
  <c r="I141" i="3" l="1"/>
  <c r="J141" i="3" s="1"/>
  <c r="K141" i="3" s="1"/>
  <c r="L141" i="3" s="1"/>
  <c r="M141" i="3" s="1"/>
  <c r="N141" i="3" s="1"/>
  <c r="O141" i="3" s="1"/>
  <c r="P141" i="3" s="1"/>
  <c r="Q141" i="3" s="1"/>
  <c r="R141" i="3" s="1"/>
  <c r="T155" i="3" l="1"/>
  <c r="I142" i="3"/>
  <c r="T156" i="3" l="1"/>
  <c r="J142" i="3"/>
  <c r="K142" i="3" l="1"/>
  <c r="L142" i="3" l="1"/>
  <c r="M142" i="3" l="1"/>
  <c r="N142" i="3" l="1"/>
  <c r="O142" i="3" l="1"/>
  <c r="P142" i="3" l="1"/>
  <c r="Q142" i="3" l="1"/>
  <c r="R142" i="3" l="1"/>
  <c r="U141" i="3" l="1"/>
  <c r="G148" i="3" l="1"/>
  <c r="V141" i="3"/>
  <c r="U142" i="3"/>
  <c r="H148" i="3" l="1"/>
  <c r="H149" i="3" s="1"/>
  <c r="G149" i="3"/>
  <c r="V142" i="3"/>
  <c r="I148" i="3" l="1"/>
  <c r="J148" i="3" s="1"/>
  <c r="K148" i="3" s="1"/>
  <c r="L148" i="3" s="1"/>
  <c r="M148" i="3" s="1"/>
  <c r="N148" i="3" s="1"/>
  <c r="O148" i="3" s="1"/>
  <c r="P148" i="3" s="1"/>
  <c r="Q148" i="3" s="1"/>
  <c r="R148" i="3" s="1"/>
  <c r="T162" i="3" l="1"/>
  <c r="I149" i="3"/>
  <c r="T163" i="3" l="1"/>
  <c r="J149" i="3"/>
  <c r="K149" i="3" l="1"/>
  <c r="L149" i="3" l="1"/>
  <c r="M149" i="3" l="1"/>
  <c r="N149" i="3" l="1"/>
  <c r="O149" i="3" l="1"/>
  <c r="P149" i="3" l="1"/>
  <c r="Q149" i="3" l="1"/>
  <c r="R149" i="3" l="1"/>
  <c r="U148" i="3" l="1"/>
  <c r="G155" i="3" l="1"/>
  <c r="V148" i="3"/>
  <c r="U149" i="3"/>
  <c r="H155" i="3" l="1"/>
  <c r="H156" i="3" s="1"/>
  <c r="G156" i="3"/>
  <c r="V149" i="3"/>
  <c r="I155" i="3" l="1"/>
  <c r="J155" i="3" s="1"/>
  <c r="K155" i="3" s="1"/>
  <c r="L155" i="3" s="1"/>
  <c r="M155" i="3" s="1"/>
  <c r="N155" i="3" s="1"/>
  <c r="O155" i="3" s="1"/>
  <c r="P155" i="3" s="1"/>
  <c r="Q155" i="3" s="1"/>
  <c r="R155" i="3" s="1"/>
  <c r="T169" i="3" l="1"/>
  <c r="I156" i="3"/>
  <c r="T170" i="3" l="1"/>
  <c r="J156" i="3"/>
  <c r="K156" i="3" l="1"/>
  <c r="L156" i="3" l="1"/>
  <c r="M156" i="3" l="1"/>
  <c r="N156" i="3" l="1"/>
  <c r="O156" i="3" l="1"/>
  <c r="P156" i="3" l="1"/>
  <c r="Q156" i="3" l="1"/>
  <c r="R156" i="3" l="1"/>
  <c r="U155" i="3" s="1"/>
  <c r="G162" i="3" l="1"/>
  <c r="H162" i="3" l="1"/>
  <c r="H163" i="3" s="1"/>
  <c r="G163" i="3"/>
  <c r="V155" i="3"/>
  <c r="U156" i="3"/>
  <c r="I162" i="3" l="1"/>
  <c r="J162" i="3" s="1"/>
  <c r="K162" i="3" s="1"/>
  <c r="L162" i="3" s="1"/>
  <c r="M162" i="3" s="1"/>
  <c r="N162" i="3" s="1"/>
  <c r="O162" i="3" s="1"/>
  <c r="P162" i="3" s="1"/>
  <c r="Q162" i="3" s="1"/>
  <c r="R162" i="3" s="1"/>
  <c r="T176" i="3"/>
  <c r="V156" i="3"/>
  <c r="T177" i="3" l="1"/>
  <c r="I163" i="3"/>
  <c r="J163" i="3" l="1"/>
  <c r="K163" i="3" l="1"/>
  <c r="L163" i="3" l="1"/>
  <c r="M163" i="3" l="1"/>
  <c r="N163" i="3" l="1"/>
  <c r="O163" i="3" l="1"/>
  <c r="P163" i="3" l="1"/>
  <c r="Q163" i="3" l="1"/>
  <c r="R163" i="3" l="1"/>
  <c r="U162" i="3" l="1"/>
  <c r="G169" i="3" l="1"/>
  <c r="U163" i="3"/>
  <c r="V162" i="3"/>
  <c r="H169" i="3" l="1"/>
  <c r="H170" i="3" s="1"/>
  <c r="V163" i="3"/>
  <c r="G170" i="3"/>
  <c r="T183" i="3" s="1"/>
  <c r="I169" i="3" l="1"/>
  <c r="J169" i="3" s="1"/>
  <c r="K169" i="3" s="1"/>
  <c r="L169" i="3" s="1"/>
  <c r="M169" i="3" s="1"/>
  <c r="N169" i="3" s="1"/>
  <c r="O169" i="3" s="1"/>
  <c r="P169" i="3" s="1"/>
  <c r="Q169" i="3" s="1"/>
  <c r="R169" i="3" s="1"/>
  <c r="T198" i="3"/>
  <c r="T184" i="3"/>
  <c r="T191" i="3"/>
  <c r="I170" i="3" l="1"/>
  <c r="J170" i="3" l="1"/>
  <c r="K170" i="3" l="1"/>
  <c r="L170" i="3" l="1"/>
  <c r="M170" i="3" l="1"/>
  <c r="N170" i="3" l="1"/>
  <c r="O170" i="3" l="1"/>
  <c r="P170" i="3" l="1"/>
  <c r="Q170" i="3" l="1"/>
  <c r="R170" i="3" l="1"/>
  <c r="U169" i="3" l="1"/>
  <c r="G176" i="3" l="1"/>
  <c r="V169" i="3"/>
  <c r="U170" i="3"/>
  <c r="H176" i="3" l="1"/>
  <c r="H177" i="3" s="1"/>
  <c r="V170" i="3"/>
  <c r="G177" i="3"/>
  <c r="I176" i="3" l="1"/>
  <c r="J176" i="3" s="1"/>
  <c r="K176" i="3" s="1"/>
  <c r="L176" i="3" s="1"/>
  <c r="M176" i="3" s="1"/>
  <c r="N176" i="3" s="1"/>
  <c r="O176" i="3" s="1"/>
  <c r="P176" i="3" l="1"/>
  <c r="O177" i="3"/>
  <c r="I177" i="3"/>
  <c r="Q176" i="3" l="1"/>
  <c r="P177" i="3"/>
  <c r="J177" i="3"/>
  <c r="R176" i="3" l="1"/>
  <c r="R177" i="3" s="1"/>
  <c r="Q177" i="3"/>
  <c r="K177" i="3"/>
  <c r="L177" i="3" l="1"/>
  <c r="M177" i="3" l="1"/>
  <c r="N177" i="3" l="1"/>
  <c r="U176" i="3" s="1"/>
  <c r="G183" i="3" l="1"/>
  <c r="H183" i="3" s="1"/>
  <c r="H184" i="3" s="1"/>
  <c r="U177" i="3"/>
  <c r="V176" i="3"/>
  <c r="F12" i="2"/>
  <c r="M32" i="2" l="1"/>
  <c r="Q32" i="2" s="1"/>
  <c r="I183" i="3"/>
  <c r="V177" i="3"/>
  <c r="G184" i="3"/>
  <c r="K13" i="5" l="1"/>
  <c r="G12" i="5"/>
  <c r="G13" i="5"/>
  <c r="R52" i="2"/>
  <c r="R51" i="2"/>
  <c r="G33" i="5" s="1"/>
  <c r="M52" i="2"/>
  <c r="G52" i="5" s="1"/>
  <c r="M51" i="2"/>
  <c r="G32" i="5" s="1"/>
  <c r="J183" i="3"/>
  <c r="I184" i="3"/>
  <c r="T32" i="2"/>
  <c r="W32" i="2" s="1"/>
  <c r="K12" i="5" l="1"/>
  <c r="G27" i="5"/>
  <c r="K27" i="5" s="1"/>
  <c r="D60" i="5"/>
  <c r="K53" i="5"/>
  <c r="G67" i="5"/>
  <c r="E60" i="5"/>
  <c r="E40" i="5"/>
  <c r="G47" i="5"/>
  <c r="K47" i="5" s="1"/>
  <c r="D40" i="5"/>
  <c r="K33" i="5"/>
  <c r="E20" i="5"/>
  <c r="D20" i="5"/>
  <c r="G14" i="5"/>
  <c r="G24" i="5" s="1"/>
  <c r="G57" i="5"/>
  <c r="G37" i="5"/>
  <c r="D39" i="5"/>
  <c r="D38" i="5"/>
  <c r="K32" i="5"/>
  <c r="G38" i="5"/>
  <c r="D37" i="5"/>
  <c r="D36" i="5"/>
  <c r="G36" i="5"/>
  <c r="E38" i="5"/>
  <c r="E36" i="5"/>
  <c r="E37" i="5"/>
  <c r="G17" i="5"/>
  <c r="G58" i="5"/>
  <c r="G56" i="5"/>
  <c r="G53" i="5"/>
  <c r="K52" i="5" s="1"/>
  <c r="G34" i="5"/>
  <c r="E39" i="5"/>
  <c r="D17" i="5"/>
  <c r="E19" i="5"/>
  <c r="E16" i="5"/>
  <c r="D18" i="5"/>
  <c r="D19" i="5"/>
  <c r="E18" i="5"/>
  <c r="D16" i="5"/>
  <c r="E17" i="5"/>
  <c r="G16" i="5"/>
  <c r="E59" i="5"/>
  <c r="E57" i="5"/>
  <c r="D56" i="5"/>
  <c r="D58" i="5"/>
  <c r="D59" i="5"/>
  <c r="E56" i="5"/>
  <c r="D57" i="5"/>
  <c r="E58" i="5"/>
  <c r="J184" i="3"/>
  <c r="K183" i="3"/>
  <c r="K67" i="5" l="1"/>
  <c r="K29" i="5"/>
  <c r="G44" i="5"/>
  <c r="G54" i="5"/>
  <c r="G64" i="5" s="1"/>
  <c r="K184" i="3"/>
  <c r="L183" i="3"/>
  <c r="K49" i="5" l="1"/>
  <c r="K69" i="5"/>
  <c r="L184" i="3"/>
  <c r="M183" i="3"/>
  <c r="M184" i="3" l="1"/>
  <c r="N183" i="3"/>
  <c r="N184" i="3" l="1"/>
  <c r="O183" i="3"/>
  <c r="O184" i="3" l="1"/>
  <c r="P183" i="3"/>
  <c r="P184" i="3" l="1"/>
  <c r="Q183" i="3"/>
  <c r="Q184" i="3" l="1"/>
  <c r="R183" i="3"/>
  <c r="R184" i="3" l="1"/>
  <c r="U183" i="3" l="1"/>
  <c r="U184" i="3" l="1"/>
  <c r="G18" i="5" s="1"/>
  <c r="V183" i="3"/>
  <c r="G190" i="3"/>
  <c r="H190" i="3" l="1"/>
  <c r="G191" i="3"/>
  <c r="V184" i="3"/>
  <c r="H191" i="3" l="1"/>
  <c r="I190" i="3"/>
  <c r="J190" i="3" l="1"/>
  <c r="I191" i="3"/>
  <c r="J191" i="3" l="1"/>
  <c r="K190" i="3"/>
  <c r="K191" i="3" l="1"/>
  <c r="L190" i="3"/>
  <c r="L191" i="3" l="1"/>
  <c r="M190" i="3"/>
  <c r="M191" i="3" l="1"/>
  <c r="N190" i="3"/>
  <c r="N191" i="3" l="1"/>
  <c r="O190" i="3"/>
  <c r="O191" i="3" l="1"/>
  <c r="P190" i="3"/>
  <c r="P191" i="3" l="1"/>
  <c r="Q190" i="3"/>
  <c r="Q191" i="3" l="1"/>
  <c r="R190" i="3"/>
  <c r="R191" i="3" l="1"/>
  <c r="U190" i="3" l="1"/>
  <c r="V190" i="3" l="1"/>
  <c r="V191" i="3" s="1"/>
  <c r="U191" i="3"/>
  <c r="G20" i="5" s="1"/>
  <c r="G197" i="3"/>
  <c r="G198" i="3" l="1"/>
  <c r="H197" i="3"/>
  <c r="H198" i="3" l="1"/>
  <c r="I197" i="3"/>
  <c r="J197" i="3" l="1"/>
  <c r="I198" i="3"/>
  <c r="J198" i="3" l="1"/>
  <c r="K197" i="3"/>
  <c r="K198" i="3" l="1"/>
  <c r="L197" i="3"/>
  <c r="L198" i="3" l="1"/>
  <c r="M197" i="3"/>
  <c r="M198" i="3" l="1"/>
  <c r="N197" i="3"/>
  <c r="N198" i="3" l="1"/>
  <c r="O197" i="3"/>
  <c r="O198" i="3" l="1"/>
  <c r="P197" i="3"/>
  <c r="P198" i="3" l="1"/>
  <c r="Q197" i="3"/>
  <c r="Q198" i="3" l="1"/>
  <c r="R197" i="3"/>
  <c r="R198" i="3" l="1"/>
  <c r="U197" i="3" l="1"/>
  <c r="V197" i="3" l="1"/>
  <c r="V198" i="3" s="1"/>
  <c r="U198" i="3"/>
  <c r="G60" i="5" l="1"/>
  <c r="G59" i="5" s="1"/>
  <c r="G40" i="5"/>
  <c r="G19" i="5"/>
  <c r="G21" i="5"/>
  <c r="G61" i="5" l="1"/>
  <c r="G62" i="5" s="1"/>
  <c r="K65" i="5" s="1"/>
  <c r="G41" i="5"/>
  <c r="K38" i="5" s="1"/>
  <c r="G39" i="5"/>
  <c r="K68" i="5"/>
  <c r="K60" i="5"/>
  <c r="K56" i="5"/>
  <c r="K57" i="5"/>
  <c r="K58" i="5"/>
  <c r="K59" i="5"/>
  <c r="G22" i="5"/>
  <c r="K25" i="5" s="1"/>
  <c r="K17" i="5"/>
  <c r="K16" i="5"/>
  <c r="K18" i="5"/>
  <c r="K20" i="5"/>
  <c r="K19" i="5"/>
  <c r="K28" i="5"/>
  <c r="K24" i="5"/>
  <c r="K36" i="5"/>
  <c r="K64" i="5" l="1"/>
  <c r="K37" i="5"/>
  <c r="K40" i="5"/>
  <c r="K44" i="5"/>
  <c r="K39" i="5"/>
  <c r="G42" i="5"/>
  <c r="K45" i="5" s="1"/>
  <c r="K48" i="5"/>
</calcChain>
</file>

<file path=xl/sharedStrings.xml><?xml version="1.0" encoding="utf-8"?>
<sst xmlns="http://schemas.openxmlformats.org/spreadsheetml/2006/main" count="687" uniqueCount="281">
  <si>
    <t>Developed by Mr. Neeraj Bhargava  (9950826109) in consultation with Mr. Parveen Kohli (9810306699) &amp; with technical support from Mr. C Ramasamy</t>
  </si>
  <si>
    <t>Details</t>
  </si>
  <si>
    <t>Year</t>
  </si>
  <si>
    <t>Month</t>
  </si>
  <si>
    <t>Days</t>
  </si>
  <si>
    <t>Years of Past Service</t>
  </si>
  <si>
    <t>Salary &lt;2500</t>
  </si>
  <si>
    <t>Salary &gt;=2500</t>
  </si>
  <si>
    <t>Date of Birth</t>
  </si>
  <si>
    <t>&lt;= 11 Years</t>
  </si>
  <si>
    <t>Date of Joining PF</t>
  </si>
  <si>
    <t>&gt;11 Years &amp; &lt;=15 years</t>
  </si>
  <si>
    <t>&gt; 15 Years &lt;= 20 years</t>
  </si>
  <si>
    <t>&gt;20 years</t>
  </si>
  <si>
    <t>Additional Details:</t>
  </si>
  <si>
    <t>Ceiling upto 31.08.2014</t>
  </si>
  <si>
    <t>Ceiling from 01.09.2014</t>
  </si>
  <si>
    <t>No cap</t>
  </si>
  <si>
    <t>DOE&lt;10.06.2008</t>
  </si>
  <si>
    <t>DOE&gt;=10.06.2008</t>
  </si>
  <si>
    <t>Table B Value</t>
  </si>
  <si>
    <t>Less than</t>
  </si>
  <si>
    <t>Years</t>
  </si>
  <si>
    <t>EPS Para Ref.</t>
  </si>
  <si>
    <t>No. of days</t>
  </si>
  <si>
    <t>Months</t>
  </si>
  <si>
    <t>9. Eligible Service</t>
  </si>
  <si>
    <t>Total Service</t>
  </si>
  <si>
    <t>Eligible Service</t>
  </si>
  <si>
    <t>Past Service (service upto 15.11.1995)</t>
  </si>
  <si>
    <t>10 (1) Pensionable Service</t>
  </si>
  <si>
    <t>Service from 16-11-1995 to 31-08-2014 or DoE</t>
  </si>
  <si>
    <t>Service from 01-09-2014 to Date of Exit</t>
  </si>
  <si>
    <t>Contribution received for the period</t>
  </si>
  <si>
    <t>10 (2) Weightage
of 2 years</t>
  </si>
  <si>
    <t>Weightage Service</t>
  </si>
  <si>
    <t>Non contributory period</t>
  </si>
  <si>
    <t>11. Pensionable Salary etc.</t>
  </si>
  <si>
    <t>Table B</t>
  </si>
  <si>
    <t>Break up Details</t>
  </si>
  <si>
    <t>For Actual Service @ 6,500/-</t>
  </si>
  <si>
    <t>For Actual Service @ 15,000/-</t>
  </si>
  <si>
    <t>For Past Service (Table A x Table B)</t>
  </si>
  <si>
    <t>Total</t>
  </si>
  <si>
    <t>Spouse Pension (after Death)</t>
  </si>
  <si>
    <t>Children Pension (upto 25 yrs of Age)</t>
  </si>
  <si>
    <t>Orphan Pension</t>
  </si>
  <si>
    <t>VLOOKUP REF. TABLE B "CURRENT"</t>
  </si>
  <si>
    <t>VLOOKUP REF. TABLE B "OLD"</t>
  </si>
  <si>
    <t>GSR 438E WEF 10.06.2008</t>
  </si>
  <si>
    <t>GSR 134E DT 16.03.1996</t>
  </si>
  <si>
    <t>Table B Effective &gt; = 10-06-2008</t>
  </si>
  <si>
    <t>Table B Effective upto 09-06-2008</t>
  </si>
  <si>
    <t>YEARS</t>
  </si>
  <si>
    <t>.T.</t>
  </si>
  <si>
    <t>&lt;2500</t>
  </si>
  <si>
    <t>&gt;2500</t>
  </si>
  <si>
    <t>PENSIONABLE SERVICE</t>
  </si>
  <si>
    <t xml:space="preserve">YEARS </t>
  </si>
  <si>
    <t>TRUE/NOT</t>
  </si>
  <si>
    <t>VALUE</t>
  </si>
  <si>
    <t xml:space="preserve">Less than 1 </t>
  </si>
  <si>
    <t xml:space="preserve">Less than 2 </t>
  </si>
  <si>
    <t xml:space="preserve">Less than 3 </t>
  </si>
  <si>
    <t xml:space="preserve">Less than 4 </t>
  </si>
  <si>
    <t>Less than 5</t>
  </si>
  <si>
    <t>Less than 6</t>
  </si>
  <si>
    <t>Less than 7</t>
  </si>
  <si>
    <t>Less than 8</t>
  </si>
  <si>
    <t>Less than 9</t>
  </si>
  <si>
    <t>Less than 10</t>
  </si>
  <si>
    <t>Less than 11</t>
  </si>
  <si>
    <t>Less than 12</t>
  </si>
  <si>
    <t>Less than 13</t>
  </si>
  <si>
    <t>Less than 14</t>
  </si>
  <si>
    <t>Less than 15</t>
  </si>
  <si>
    <t>Less than 16</t>
  </si>
  <si>
    <t>Less than 17</t>
  </si>
  <si>
    <t>Less than 18</t>
  </si>
  <si>
    <t>Less than 19</t>
  </si>
  <si>
    <t>Less than 20</t>
  </si>
  <si>
    <t>Less than 21</t>
  </si>
  <si>
    <t>Less than 22</t>
  </si>
  <si>
    <t>Less than 23</t>
  </si>
  <si>
    <t>Less than 24</t>
  </si>
  <si>
    <t>Less than 25</t>
  </si>
  <si>
    <t>Less than 26</t>
  </si>
  <si>
    <t>Less than 27</t>
  </si>
  <si>
    <t>Less than 28</t>
  </si>
  <si>
    <t>Less than 29</t>
  </si>
  <si>
    <t>Less than 30</t>
  </si>
  <si>
    <t>Less than 31</t>
  </si>
  <si>
    <t>Less than 32</t>
  </si>
  <si>
    <t>Less than 33</t>
  </si>
  <si>
    <t>Less than 34</t>
  </si>
  <si>
    <t>S No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</si>
  <si>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</si>
  <si>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</si>
  <si>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</si>
  <si>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</si>
  <si>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</si>
  <si>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</si>
  <si>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</si>
  <si>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</si>
  <si>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</si>
  <si>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January</t>
  </si>
  <si>
    <t>February</t>
  </si>
  <si>
    <t>March</t>
  </si>
  <si>
    <t>1995-96</t>
  </si>
  <si>
    <t>PF'able Salary</t>
  </si>
  <si>
    <t>8.33% of PF'able Salary</t>
  </si>
  <si>
    <t>Ceiling 1</t>
  </si>
  <si>
    <t>Pension contribution
(on ceiling)</t>
  </si>
  <si>
    <t>Addl Amount Payable
on PF'able Salary</t>
  </si>
  <si>
    <t>Interest rate</t>
  </si>
  <si>
    <t>Progressive balance</t>
  </si>
  <si>
    <t>Interest amount</t>
  </si>
  <si>
    <t>1997-98</t>
  </si>
  <si>
    <t>1998-99</t>
  </si>
  <si>
    <t>1999-2000</t>
  </si>
  <si>
    <t>2000-01</t>
  </si>
  <si>
    <t>2001-02</t>
  </si>
  <si>
    <t>Ceiling 2</t>
  </si>
  <si>
    <t>2002-03</t>
  </si>
  <si>
    <t>2003-04</t>
  </si>
  <si>
    <t>2004-05</t>
  </si>
  <si>
    <t>2005-06</t>
  </si>
  <si>
    <t>2006-07</t>
  </si>
  <si>
    <t>2007-08</t>
  </si>
  <si>
    <t>2008-09</t>
  </si>
  <si>
    <t>2009-10</t>
  </si>
  <si>
    <t>2010-11</t>
  </si>
  <si>
    <t>2011-12</t>
  </si>
  <si>
    <t>2012-13</t>
  </si>
  <si>
    <t>2013-14</t>
  </si>
  <si>
    <t>2014-15</t>
  </si>
  <si>
    <t>Ceiling 3</t>
  </si>
  <si>
    <t>2015-16</t>
  </si>
  <si>
    <t>2016-17</t>
  </si>
  <si>
    <t>2017-18</t>
  </si>
  <si>
    <t>2018-19</t>
  </si>
  <si>
    <t>2019-20</t>
  </si>
  <si>
    <t>2020-21</t>
  </si>
  <si>
    <t>1996-97</t>
  </si>
  <si>
    <t>Interest</t>
  </si>
  <si>
    <t>Financial Year &amp;
Rate of Interest</t>
  </si>
  <si>
    <t>Total Pensionable Service
considering 6,500 limit</t>
  </si>
  <si>
    <t>Total Pensionable Service
considering 15,000 limit</t>
  </si>
  <si>
    <t>31-05-2001</t>
  </si>
  <si>
    <t>From</t>
  </si>
  <si>
    <t>To</t>
  </si>
  <si>
    <t>31-08-2014</t>
  </si>
  <si>
    <t>Ceiling</t>
  </si>
  <si>
    <t>Name</t>
  </si>
  <si>
    <t>Differential Amount to be paid</t>
  </si>
  <si>
    <t>For Normal / Higher Pension</t>
  </si>
  <si>
    <t>Developed by Mr. Neeraj Bhargava (9950826109) in consultation with Mr. Parveen Kohli (9810306699) &amp; with technical support from Mr. C Ramasamy</t>
  </si>
  <si>
    <t>Amount type</t>
  </si>
  <si>
    <t>01-12-1995 
(16/11-30/11)</t>
  </si>
  <si>
    <t>Interest rate
(July onwards)</t>
  </si>
  <si>
    <t>Interest rate
(Apr ~ June)</t>
  </si>
  <si>
    <t>Date of EPS Joining</t>
  </si>
  <si>
    <t>Date of Ceiling Change</t>
  </si>
  <si>
    <t>Service Weightage (in years)</t>
  </si>
  <si>
    <t>Input data for Monthly PF'able salary</t>
  </si>
  <si>
    <t>Non Contributory Period, if any (nos. in Days)</t>
  </si>
  <si>
    <t>EPS-95 started from 16-11-1995</t>
  </si>
  <si>
    <t>Pensionable Salary</t>
  </si>
  <si>
    <t>Pensionable Service (Days)</t>
  </si>
  <si>
    <t>Please fill PF'able Salary is considered like, 16th November to 30th November amount to be transferred in December month, December amount paid in January and likewise</t>
  </si>
  <si>
    <t>Developed by Mr. Neeraj Bhargava  (9950826109) in consultation with Mr. Parveen Kohli (9810306699)
&amp; with technical support from Mr. C Ramasamy</t>
  </si>
  <si>
    <t>EPS 1995 Pension - Input</t>
  </si>
  <si>
    <t>EPS 1995 Pension - Differential Amount and Interest Payable Calculations</t>
  </si>
  <si>
    <t>Please read Instructions given in INSTRUCTIONS sheet carefully</t>
  </si>
  <si>
    <t>::</t>
  </si>
  <si>
    <t>Diff in Superannuation &amp; exit dates</t>
  </si>
  <si>
    <t>Reduced Monthly Pension</t>
  </si>
  <si>
    <t>Early Exit Cal.</t>
  </si>
  <si>
    <t>Enhanced Monthly Pension</t>
  </si>
  <si>
    <t>Amount in Rs.</t>
  </si>
  <si>
    <t>Date of Change in Table B</t>
  </si>
  <si>
    <t>VLOOKUP  Past Service</t>
  </si>
  <si>
    <t>SALARY FACTOR</t>
  </si>
  <si>
    <t xml:space="preserve">Computation of Past Service Factor  </t>
  </si>
  <si>
    <t>Past Service Factor (PSF)</t>
  </si>
  <si>
    <t>Pensionable
Salary</t>
  </si>
  <si>
    <t>Computation of Table B Factor  (GSR 134E / GSR 438E)</t>
  </si>
  <si>
    <t>DERIVED VALUE FOR THE PAST SERVICE</t>
  </si>
  <si>
    <t>Service years from 16-11-1995 to Date of Exit</t>
  </si>
  <si>
    <t>Date of Exit</t>
  </si>
  <si>
    <t>Past Service Factor</t>
  </si>
  <si>
    <t>12 (1) (a) Monthly Pension</t>
  </si>
  <si>
    <t>Superannuation Pension</t>
  </si>
  <si>
    <t>12 (7)</t>
  </si>
  <si>
    <t>12 (7B) a (i)</t>
  </si>
  <si>
    <t>Max
Contribution</t>
  </si>
  <si>
    <t>Date of Superannuation</t>
  </si>
  <si>
    <t>Wage
Ceiling</t>
  </si>
  <si>
    <t>2021-22</t>
  </si>
  <si>
    <t>2022-23</t>
  </si>
  <si>
    <t>Amount</t>
  </si>
  <si>
    <t>PF'ble Salary/
Wages</t>
  </si>
  <si>
    <t>Fill data for Calculating "Actual Salary Pension"</t>
  </si>
  <si>
    <t xml:space="preserve">Date of Commencement of Ceiling Amount Pension </t>
  </si>
  <si>
    <t>Date of commencement of Actual Salary Pension (Format: DD-MM-YYYY)</t>
  </si>
  <si>
    <t>Actual Salary Pension</t>
  </si>
  <si>
    <t>EPS 1995 Pension - "Ceiling Amount" &amp; "Actual Salary" Pension Calculation</t>
  </si>
  <si>
    <t>Date of Commencement of Actual Salary Pension</t>
  </si>
  <si>
    <t>Addl amount of Govt contribution above 1.16% of Ceiling limit</t>
  </si>
  <si>
    <t>2023-24</t>
  </si>
  <si>
    <t>Please read Instructions given in INSTRUCTIONS sheet carefully before proceeding for filling Input Sheet, else the results may differ from Actuals</t>
  </si>
  <si>
    <t>Financial
Year</t>
  </si>
  <si>
    <t>Date of commencement of "Ceiling Amount Pension"</t>
  </si>
  <si>
    <t>Salary</t>
  </si>
  <si>
    <t>Retiring Month (in reverse order)</t>
  </si>
  <si>
    <t>Post 01-09-2014 retirees</t>
  </si>
  <si>
    <t>Pre 01-09-2014 retirees</t>
  </si>
  <si>
    <t>Output</t>
  </si>
  <si>
    <t>Increase in Pension
(Difference in Actual Salary &amp; Ceiling Amount Pension)</t>
  </si>
  <si>
    <t>Last 12 months / 60 Months PF'ble Salary (Salary reckoned for PF calculation without any arrears)</t>
  </si>
  <si>
    <t>Statistics (Ratios)</t>
  </si>
  <si>
    <t>EPS 1995 Pension - Output &amp; Statistics (Ratios)</t>
  </si>
  <si>
    <t xml:space="preserve">On Ceiling pension  </t>
  </si>
  <si>
    <t>On Actual pension</t>
  </si>
  <si>
    <t>** If ROC, Commutation etc., reduction factors are not applicable</t>
  </si>
  <si>
    <t>Increase in Pension Amount (in numbers)</t>
  </si>
  <si>
    <t>Superannuated
Pension</t>
  </si>
  <si>
    <t>Reduceded
Pension</t>
  </si>
  <si>
    <t>Enhanced
Pension</t>
  </si>
  <si>
    <t>Date of commencement of "Actual Salary Pension"</t>
  </si>
  <si>
    <t>Last month when full salary received</t>
  </si>
  <si>
    <t>Pension Calculations</t>
  </si>
  <si>
    <t>Pension Revision Arrears without interest / 60 months average salary (in numbers) **</t>
  </si>
  <si>
    <t>Additional amount Paid for 1.16% Govt share after 01-09-2014</t>
  </si>
  <si>
    <t>Differential contribution with Interest</t>
  </si>
  <si>
    <t>Differential contribution</t>
  </si>
  <si>
    <t>Additional amount / Differential contribution with interest (in %)</t>
  </si>
  <si>
    <t>Interest till date of retirement / Differential contribution with interest (in %)</t>
  </si>
  <si>
    <t>Differential contribution / Differential contribution with interest (in %)</t>
  </si>
  <si>
    <t>Differential contribution with Interest / 60 months average salary (in numbers)</t>
  </si>
  <si>
    <t>Actual Salary Pension / 60 months average salary (in %)</t>
  </si>
  <si>
    <t>Pension Revision Arrear (without interest)</t>
  </si>
  <si>
    <t>Date of Commencement of Ceiling Salary Pension</t>
  </si>
  <si>
    <t>Ceiling Salary Pension</t>
  </si>
  <si>
    <t>* If Pension arrear is less than differential amount plus interest and if adjustment is permitted by EPFO</t>
  </si>
  <si>
    <t>Fill data from existing PPO for Verifying / Calculating  "Ceiling Salary Pension" (Format for Dates : DD-MM-YYYY)</t>
  </si>
  <si>
    <t>7/8</t>
  </si>
  <si>
    <t>Average 12/60 months salary</t>
  </si>
  <si>
    <t>Interest on differential contribution</t>
  </si>
  <si>
    <t>Interest on differential contribution &amp; interest</t>
  </si>
  <si>
    <t>2-1</t>
  </si>
  <si>
    <t>3+6</t>
  </si>
  <si>
    <t>Ratios</t>
  </si>
  <si>
    <t>Value</t>
  </si>
  <si>
    <t>2/1</t>
  </si>
  <si>
    <t>3+6-7/
2-1</t>
  </si>
  <si>
    <t>3/3+6</t>
  </si>
  <si>
    <t>4/3+6</t>
  </si>
  <si>
    <t>5/3+6</t>
  </si>
  <si>
    <t>2/8</t>
  </si>
  <si>
    <t>3+6/8</t>
  </si>
  <si>
    <t>Total Interest</t>
  </si>
  <si>
    <t>6/3+6</t>
  </si>
  <si>
    <t>Total Interest / Differential contribution with Interest (in %)</t>
  </si>
  <si>
    <t>Contribution</t>
  </si>
  <si>
    <t>5-6</t>
  </si>
  <si>
    <t>Differential Contribution with Total Interest</t>
  </si>
  <si>
    <t>Interest on differential contribution &amp; interest / Differential contribution with total interest (in %)</t>
  </si>
  <si>
    <t>Interest till date of retirement / Differential contribution with total interest (in %)</t>
  </si>
  <si>
    <t>Additional amount / Differential contribution with total interest (in %)</t>
  </si>
  <si>
    <t>Differential contribution / Differential contribution with total interest (in %)</t>
  </si>
  <si>
    <t>Total Interest / Differential contribution with total Interest
(in %)</t>
  </si>
  <si>
    <t>9</t>
  </si>
  <si>
    <t>Difference between Proposed commencement of actual salary pension and Start of ceiling salary pension (in months)</t>
  </si>
  <si>
    <t>Balance amount will be recovered (in months) *</t>
  </si>
  <si>
    <t>5-6/3+6</t>
  </si>
  <si>
    <t>Total to pay to EPFO</t>
  </si>
  <si>
    <t>4+3+6</t>
  </si>
  <si>
    <t>7/
4+3+6</t>
  </si>
  <si>
    <t>Pension Arrear / Payment to EPFO (in numbers)</t>
  </si>
  <si>
    <t>VARRINDER KAUR RAINA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</si>
</sst>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7">
    <numFmt numFmtId="43" formatCode="_(* #,##0.00_);_(* \(#,##0.00\);_(* &quot;-&quot;??_);_(@_)"/>
    <numFmt numFmtId="164" formatCode="_(* #,##0_);_(* \(#,##0\);_(* &quot;-&quot;??_);_(@_)"/>
    <numFmt numFmtId="165" formatCode="[$-14009]dd/mm/yyyy;@"/>
    <numFmt numFmtId="166" formatCode="0.000"/>
    <numFmt numFmtId="167" formatCode="[$-409]mmm\-yy;@"/>
    <numFmt numFmtId="168" formatCode="dd/mm/yyyy;@"/>
    <numFmt numFmtId="169" formatCode="_(* #,##0.0000_);_(* \(#,##0.0000\);_(* &quot;-&quot;??_);_(@_)"/>
  </numFmts>
  <fonts count="3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charset val="1"/>
      <scheme val="minor"/>
    </font>
    <font>
      <b/>
      <sz val="12"/>
      <color theme="1"/>
      <name val="Calibri"/>
      <family val="2"/>
      <scheme val="minor"/>
    </font>
    <font>
      <b/>
      <sz val="11"/>
      <color theme="1"/>
      <name val="Calibri"/>
      <family val="2"/>
      <charset val="1"/>
      <scheme val="minor"/>
    </font>
    <font>
      <b/>
      <sz val="11"/>
      <name val="Calibri"/>
      <family val="2"/>
      <scheme val="minor"/>
    </font>
    <font>
      <sz val="11"/>
      <name val="Calibri"/>
      <family val="2"/>
      <charset val="1"/>
      <scheme val="minor"/>
    </font>
    <font>
      <b/>
      <sz val="10.5"/>
      <color theme="1"/>
      <name val="Calibri"/>
      <family val="2"/>
      <scheme val="minor"/>
    </font>
    <font>
      <sz val="11"/>
      <color rgb="FFFF0000"/>
      <name val="Calibri"/>
      <family val="2"/>
      <charset val="1"/>
      <scheme val="minor"/>
    </font>
    <font>
      <b/>
      <sz val="14"/>
      <name val="Calibri"/>
      <family val="2"/>
      <charset val="1"/>
      <scheme val="minor"/>
    </font>
    <font>
      <sz val="11"/>
      <color rgb="FF000000"/>
      <name val="Calibri"/>
      <family val="2"/>
      <charset val="1"/>
      <scheme val="minor"/>
    </font>
    <font>
      <sz val="11"/>
      <name val="Calibri"/>
      <family val="2"/>
      <scheme val="minor"/>
    </font>
    <font>
      <b/>
      <sz val="11"/>
      <name val="Calibri"/>
      <family val="2"/>
    </font>
    <font>
      <sz val="11"/>
      <name val="Calibri"/>
      <family val="2"/>
    </font>
    <font>
      <sz val="11"/>
      <color rgb="FFFF0000"/>
      <name val="Calibri"/>
      <family val="2"/>
    </font>
    <font>
      <b/>
      <sz val="14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rgb="FFFF0000"/>
      <name val="Calibri"/>
      <family val="2"/>
      <charset val="1"/>
      <scheme val="minor"/>
    </font>
    <font>
      <b/>
      <sz val="16"/>
      <color rgb="FFFF0000"/>
      <name val="Calibri"/>
      <family val="2"/>
      <charset val="1"/>
      <scheme val="minor"/>
    </font>
    <font>
      <b/>
      <sz val="12"/>
      <name val="Calibri"/>
      <family val="2"/>
      <scheme val="minor"/>
    </font>
    <font>
      <b/>
      <sz val="11"/>
      <color rgb="FF000000"/>
      <name val="Calibri"/>
      <family val="2"/>
    </font>
    <font>
      <b/>
      <sz val="12"/>
      <color rgb="FFFF0000"/>
      <name val="Calibri"/>
      <family val="2"/>
      <scheme val="minor"/>
    </font>
    <font>
      <b/>
      <sz val="11"/>
      <color rgb="FFFF0000"/>
      <name val="Calibri"/>
      <family val="2"/>
      <charset val="1"/>
      <scheme val="minor"/>
    </font>
    <font>
      <sz val="8"/>
      <name val="Calibri"/>
      <family val="2"/>
      <scheme val="minor"/>
    </font>
    <font>
      <b/>
      <sz val="10"/>
      <color theme="1"/>
      <name val="Calibri"/>
      <family val="2"/>
      <charset val="1"/>
      <scheme val="minor"/>
    </font>
    <font>
      <b/>
      <sz val="10"/>
      <color theme="1"/>
      <name val="Calibri"/>
      <family val="2"/>
      <scheme val="minor"/>
    </font>
    <font>
      <b/>
      <sz val="9"/>
      <color theme="1"/>
      <name val="Calibri"/>
      <family val="2"/>
      <charset val="1"/>
      <scheme val="minor"/>
    </font>
    <font>
      <b/>
      <sz val="12"/>
      <color theme="0"/>
      <name val="Calibri"/>
      <family val="2"/>
      <scheme val="minor"/>
    </font>
    <font>
      <b/>
      <sz val="14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b/>
      <sz val="14"/>
      <color rgb="FFFF0000"/>
      <name val="Calibri"/>
      <family val="2"/>
      <scheme val="minor"/>
    </font>
    <font>
      <i/>
      <sz val="11"/>
      <color rgb="FF1E1E1E"/>
      <name val="Segoe UI"/>
      <family val="2"/>
    </font>
  </fonts>
  <fills count="19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5A1EF"/>
        <bgColor indexed="64"/>
      </patternFill>
    </fill>
    <fill>
      <patternFill patternType="solid">
        <fgColor rgb="FFFBD5F8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4" tint="-0.499984740745262"/>
        <bgColor indexed="64"/>
      </patternFill>
    </fill>
    <fill>
      <patternFill patternType="solid">
        <fgColor theme="6" tint="0.79998168889431442"/>
        <bgColor indexed="64"/>
      </patternFill>
    </fill>
  </fills>
  <borders count="5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</borders>
  <cellStyleXfs count="5">
    <xf numFmtId="0" fontId="0" fillId="0" borderId="0"/>
    <xf numFmtId="0" fontId="3" fillId="0" borderId="0"/>
    <xf numFmtId="43" fontId="3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478">
    <xf numFmtId="0" fontId="0" fillId="0" borderId="0" xfId="0"/>
    <xf numFmtId="0" fontId="3" fillId="0" borderId="0" xfId="1" applyFont="1" applyAlignment="1" applyProtection="1">
      <alignment vertical="center" wrapText="1"/>
    </xf>
    <xf numFmtId="0" fontId="3" fillId="0" borderId="2" xfId="1" applyFont="1" applyBorder="1" applyAlignment="1" applyProtection="1">
      <alignment vertical="center" wrapText="1"/>
    </xf>
    <xf numFmtId="0" fontId="3" fillId="0" borderId="0" xfId="1" applyFont="1" applyBorder="1" applyAlignment="1" applyProtection="1">
      <alignment vertical="center" wrapText="1"/>
    </xf>
    <xf numFmtId="0" fontId="2" fillId="0" borderId="0" xfId="1" applyFont="1" applyFill="1" applyBorder="1" applyAlignment="1" applyProtection="1">
      <alignment vertical="center" wrapText="1"/>
    </xf>
    <xf numFmtId="0" fontId="3" fillId="0" borderId="0" xfId="1" applyFont="1" applyFill="1" applyBorder="1" applyAlignment="1" applyProtection="1">
      <alignment vertical="center" wrapText="1"/>
    </xf>
    <xf numFmtId="0" fontId="3" fillId="0" borderId="0" xfId="1" applyFont="1" applyBorder="1" applyAlignment="1" applyProtection="1">
      <alignment horizontal="left" vertical="center" wrapText="1"/>
    </xf>
    <xf numFmtId="0" fontId="2" fillId="0" borderId="0" xfId="1" applyFont="1" applyBorder="1" applyAlignment="1" applyProtection="1">
      <alignment vertical="center" wrapText="1"/>
    </xf>
    <xf numFmtId="0" fontId="2" fillId="0" borderId="0" xfId="1" applyFont="1" applyBorder="1" applyAlignment="1" applyProtection="1">
      <alignment horizontal="center" vertical="center" wrapText="1"/>
    </xf>
    <xf numFmtId="0" fontId="3" fillId="0" borderId="0" xfId="1" applyFont="1" applyFill="1" applyAlignment="1" applyProtection="1">
      <alignment vertical="center" wrapText="1"/>
    </xf>
    <xf numFmtId="0" fontId="3" fillId="0" borderId="11" xfId="1" applyFont="1" applyBorder="1" applyAlignment="1" applyProtection="1">
      <alignment vertical="center" wrapText="1"/>
    </xf>
    <xf numFmtId="0" fontId="9" fillId="4" borderId="0" xfId="1" applyFont="1" applyFill="1" applyBorder="1" applyAlignment="1" applyProtection="1">
      <alignment vertical="center" wrapText="1"/>
    </xf>
    <xf numFmtId="0" fontId="3" fillId="0" borderId="1" xfId="1" applyFont="1" applyBorder="1" applyAlignment="1" applyProtection="1">
      <alignment vertical="center" wrapText="1"/>
    </xf>
    <xf numFmtId="0" fontId="11" fillId="0" borderId="0" xfId="1" applyFont="1" applyBorder="1" applyAlignment="1" applyProtection="1">
      <alignment vertical="center" wrapText="1"/>
    </xf>
    <xf numFmtId="0" fontId="0" fillId="0" borderId="0" xfId="0" applyFont="1" applyAlignment="1" applyProtection="1">
      <alignment vertical="center" wrapText="1"/>
    </xf>
    <xf numFmtId="0" fontId="0" fillId="0" borderId="0" xfId="0" applyFont="1" applyBorder="1" applyAlignment="1" applyProtection="1">
      <alignment vertical="center" wrapText="1"/>
    </xf>
    <xf numFmtId="0" fontId="0" fillId="0" borderId="1" xfId="0" applyFont="1" applyFill="1" applyBorder="1" applyAlignment="1" applyProtection="1">
      <alignment horizontal="center" vertical="center" wrapText="1"/>
    </xf>
    <xf numFmtId="0" fontId="0" fillId="0" borderId="0" xfId="0" applyFont="1" applyFill="1" applyBorder="1" applyAlignment="1" applyProtection="1">
      <alignment vertical="center" wrapText="1"/>
    </xf>
    <xf numFmtId="164" fontId="0" fillId="0" borderId="0" xfId="2" applyNumberFormat="1" applyFont="1" applyBorder="1" applyAlignment="1" applyProtection="1">
      <alignment horizontal="center" vertical="center" wrapText="1"/>
    </xf>
    <xf numFmtId="0" fontId="9" fillId="0" borderId="0" xfId="1" applyFont="1" applyFill="1" applyBorder="1" applyAlignment="1" applyProtection="1">
      <alignment horizontal="center" vertical="center" wrapText="1"/>
    </xf>
    <xf numFmtId="166" fontId="11" fillId="0" borderId="0" xfId="1" applyNumberFormat="1" applyFont="1" applyBorder="1" applyAlignment="1" applyProtection="1">
      <alignment horizontal="center" vertical="center" wrapText="1"/>
    </xf>
    <xf numFmtId="164" fontId="0" fillId="0" borderId="0" xfId="2" applyNumberFormat="1" applyFont="1" applyFill="1" applyBorder="1" applyAlignment="1" applyProtection="1">
      <alignment vertical="center" wrapText="1"/>
    </xf>
    <xf numFmtId="1" fontId="0" fillId="8" borderId="1" xfId="0" applyNumberFormat="1" applyFont="1" applyFill="1" applyBorder="1" applyAlignment="1" applyProtection="1">
      <alignment horizontal="center" vertical="center" wrapText="1"/>
    </xf>
    <xf numFmtId="0" fontId="0" fillId="8" borderId="1" xfId="0" applyFont="1" applyFill="1" applyBorder="1" applyAlignment="1" applyProtection="1">
      <alignment horizontal="center" vertical="center" wrapText="1"/>
    </xf>
    <xf numFmtId="0" fontId="0" fillId="6" borderId="1" xfId="0" applyFont="1" applyFill="1" applyBorder="1" applyAlignment="1" applyProtection="1">
      <alignment horizontal="center" vertical="center" wrapText="1"/>
    </xf>
    <xf numFmtId="1" fontId="0" fillId="6" borderId="1" xfId="0" applyNumberFormat="1" applyFont="1" applyFill="1" applyBorder="1" applyAlignment="1" applyProtection="1">
      <alignment horizontal="center" vertical="center" wrapText="1"/>
    </xf>
    <xf numFmtId="1" fontId="0" fillId="11" borderId="1" xfId="0" applyNumberFormat="1" applyFont="1" applyFill="1" applyBorder="1" applyAlignment="1" applyProtection="1">
      <alignment horizontal="center" vertical="center" wrapText="1"/>
    </xf>
    <xf numFmtId="0" fontId="0" fillId="11" borderId="1" xfId="0" applyFont="1" applyFill="1" applyBorder="1" applyAlignment="1" applyProtection="1">
      <alignment horizontal="center" vertical="center" wrapText="1"/>
    </xf>
    <xf numFmtId="0" fontId="0" fillId="0" borderId="0" xfId="0" applyFont="1" applyFill="1" applyBorder="1" applyAlignment="1" applyProtection="1">
      <alignment horizontal="center" vertical="center" wrapText="1"/>
    </xf>
    <xf numFmtId="1" fontId="0" fillId="0" borderId="0" xfId="0" applyNumberFormat="1" applyFont="1" applyBorder="1" applyAlignment="1" applyProtection="1">
      <alignment horizontal="center" vertical="center" wrapText="1"/>
    </xf>
    <xf numFmtId="0" fontId="0" fillId="0" borderId="0" xfId="0" applyFont="1" applyBorder="1" applyAlignment="1" applyProtection="1">
      <alignment horizontal="center" vertical="center" wrapText="1"/>
    </xf>
    <xf numFmtId="165" fontId="0" fillId="8" borderId="1" xfId="0" applyNumberFormat="1" applyFont="1" applyFill="1" applyBorder="1" applyAlignment="1" applyProtection="1">
      <alignment vertical="center" wrapText="1"/>
    </xf>
    <xf numFmtId="165" fontId="0" fillId="11" borderId="1" xfId="0" applyNumberFormat="1" applyFont="1" applyFill="1" applyBorder="1" applyAlignment="1" applyProtection="1">
      <alignment horizontal="center" vertical="center" wrapText="1"/>
    </xf>
    <xf numFmtId="165" fontId="0" fillId="6" borderId="1" xfId="0" applyNumberFormat="1" applyFont="1" applyFill="1" applyBorder="1" applyAlignment="1" applyProtection="1">
      <alignment vertical="center" wrapText="1"/>
    </xf>
    <xf numFmtId="165" fontId="0" fillId="6" borderId="1" xfId="0" applyNumberFormat="1" applyFont="1" applyFill="1" applyBorder="1" applyAlignment="1" applyProtection="1">
      <alignment horizontal="center" vertical="center" wrapText="1"/>
    </xf>
    <xf numFmtId="167" fontId="12" fillId="0" borderId="0" xfId="0" applyNumberFormat="1" applyFont="1" applyFill="1" applyBorder="1" applyAlignment="1" applyProtection="1">
      <alignment vertical="center" wrapText="1"/>
    </xf>
    <xf numFmtId="14" fontId="12" fillId="0" borderId="1" xfId="0" applyNumberFormat="1" applyFont="1" applyFill="1" applyBorder="1" applyAlignment="1" applyProtection="1">
      <alignment vertical="center" wrapText="1"/>
    </xf>
    <xf numFmtId="1" fontId="1" fillId="14" borderId="1" xfId="0" applyNumberFormat="1" applyFont="1" applyFill="1" applyBorder="1" applyAlignment="1" applyProtection="1">
      <alignment horizontal="right" vertical="center" wrapText="1"/>
      <protection locked="0"/>
    </xf>
    <xf numFmtId="0" fontId="0" fillId="0" borderId="0" xfId="0" applyProtection="1"/>
    <xf numFmtId="0" fontId="0" fillId="0" borderId="0" xfId="0" applyAlignment="1" applyProtection="1">
      <alignment vertical="center" wrapText="1"/>
    </xf>
    <xf numFmtId="1" fontId="14" fillId="6" borderId="1" xfId="0" applyNumberFormat="1" applyFont="1" applyFill="1" applyBorder="1" applyAlignment="1" applyProtection="1">
      <alignment horizontal="center" vertical="center" wrapText="1"/>
    </xf>
    <xf numFmtId="164" fontId="14" fillId="6" borderId="1" xfId="3" applyNumberFormat="1" applyFont="1" applyFill="1" applyBorder="1" applyAlignment="1" applyProtection="1">
      <alignment horizontal="center" vertical="center" wrapText="1"/>
    </xf>
    <xf numFmtId="1" fontId="14" fillId="11" borderId="1" xfId="0" applyNumberFormat="1" applyFont="1" applyFill="1" applyBorder="1" applyAlignment="1" applyProtection="1">
      <alignment horizontal="center" vertical="center" wrapText="1"/>
    </xf>
    <xf numFmtId="164" fontId="14" fillId="11" borderId="1" xfId="3" applyNumberFormat="1" applyFont="1" applyFill="1" applyBorder="1" applyAlignment="1" applyProtection="1">
      <alignment horizontal="center" vertical="center" wrapText="1"/>
    </xf>
    <xf numFmtId="1" fontId="14" fillId="8" borderId="1" xfId="0" applyNumberFormat="1" applyFont="1" applyFill="1" applyBorder="1" applyAlignment="1" applyProtection="1">
      <alignment horizontal="center" vertical="center" wrapText="1"/>
    </xf>
    <xf numFmtId="164" fontId="14" fillId="8" borderId="1" xfId="3" applyNumberFormat="1" applyFont="1" applyFill="1" applyBorder="1" applyAlignment="1" applyProtection="1">
      <alignment horizontal="center" vertical="center" wrapText="1"/>
    </xf>
    <xf numFmtId="0" fontId="2" fillId="0" borderId="0" xfId="0" applyFont="1" applyAlignment="1" applyProtection="1">
      <alignment horizontal="center" vertical="center" wrapText="1"/>
    </xf>
    <xf numFmtId="49" fontId="14" fillId="0" borderId="1" xfId="3" applyNumberFormat="1" applyFont="1" applyFill="1" applyBorder="1" applyAlignment="1" applyProtection="1">
      <alignment horizontal="left" vertical="center" wrapText="1"/>
    </xf>
    <xf numFmtId="0" fontId="0" fillId="0" borderId="1" xfId="0" applyBorder="1" applyAlignment="1" applyProtection="1">
      <alignment vertical="center" wrapText="1"/>
    </xf>
    <xf numFmtId="17" fontId="13" fillId="6" borderId="1" xfId="0" applyNumberFormat="1" applyFont="1" applyFill="1" applyBorder="1" applyAlignment="1" applyProtection="1">
      <alignment horizontal="center" vertical="center" wrapText="1"/>
    </xf>
    <xf numFmtId="17" fontId="13" fillId="0" borderId="1" xfId="0" applyNumberFormat="1" applyFont="1" applyFill="1" applyBorder="1" applyAlignment="1" applyProtection="1">
      <alignment horizontal="center" vertical="center" wrapText="1"/>
    </xf>
    <xf numFmtId="0" fontId="14" fillId="0" borderId="1" xfId="0" applyFont="1" applyFill="1" applyBorder="1" applyAlignment="1" applyProtection="1">
      <alignment horizontal="left" vertical="center" wrapText="1"/>
    </xf>
    <xf numFmtId="164" fontId="13" fillId="0" borderId="1" xfId="3" applyNumberFormat="1" applyFont="1" applyFill="1" applyBorder="1" applyAlignment="1" applyProtection="1">
      <alignment vertical="center" wrapText="1"/>
    </xf>
    <xf numFmtId="164" fontId="14" fillId="6" borderId="1" xfId="3" quotePrefix="1" applyNumberFormat="1" applyFont="1" applyFill="1" applyBorder="1" applyAlignment="1" applyProtection="1">
      <alignment horizontal="right" vertical="center" wrapText="1"/>
    </xf>
    <xf numFmtId="164" fontId="14" fillId="4" borderId="1" xfId="3" quotePrefix="1" applyNumberFormat="1" applyFont="1" applyFill="1" applyBorder="1" applyAlignment="1" applyProtection="1">
      <alignment horizontal="right" vertical="center" wrapText="1"/>
    </xf>
    <xf numFmtId="164" fontId="14" fillId="0" borderId="1" xfId="3" applyNumberFormat="1" applyFont="1" applyFill="1" applyBorder="1" applyAlignment="1" applyProtection="1">
      <alignment horizontal="right" vertical="center" wrapText="1"/>
    </xf>
    <xf numFmtId="164" fontId="14" fillId="0" borderId="1" xfId="3" quotePrefix="1" applyNumberFormat="1" applyFont="1" applyFill="1" applyBorder="1" applyAlignment="1" applyProtection="1">
      <alignment horizontal="right" vertical="center" wrapText="1"/>
    </xf>
    <xf numFmtId="164" fontId="14" fillId="6" borderId="1" xfId="3" applyNumberFormat="1" applyFont="1" applyFill="1" applyBorder="1" applyAlignment="1" applyProtection="1">
      <alignment horizontal="right" vertical="center" wrapText="1"/>
    </xf>
    <xf numFmtId="10" fontId="14" fillId="0" borderId="1" xfId="0" applyNumberFormat="1" applyFont="1" applyFill="1" applyBorder="1" applyAlignment="1" applyProtection="1">
      <alignment horizontal="center" vertical="center" wrapText="1"/>
    </xf>
    <xf numFmtId="1" fontId="14" fillId="0" borderId="1" xfId="0" applyNumberFormat="1" applyFont="1" applyFill="1" applyBorder="1" applyAlignment="1" applyProtection="1">
      <alignment horizontal="left" vertical="center" wrapText="1"/>
    </xf>
    <xf numFmtId="43" fontId="14" fillId="6" borderId="1" xfId="3" applyFont="1" applyFill="1" applyBorder="1" applyAlignment="1" applyProtection="1">
      <alignment horizontal="right" vertical="center" wrapText="1"/>
    </xf>
    <xf numFmtId="43" fontId="14" fillId="0" borderId="1" xfId="3" applyFont="1" applyFill="1" applyBorder="1" applyAlignment="1" applyProtection="1">
      <alignment horizontal="right" vertical="center" wrapText="1"/>
    </xf>
    <xf numFmtId="164" fontId="2" fillId="7" borderId="1" xfId="3" quotePrefix="1" applyNumberFormat="1" applyFont="1" applyFill="1" applyBorder="1" applyAlignment="1" applyProtection="1">
      <alignment horizontal="center" vertical="center" wrapText="1"/>
    </xf>
    <xf numFmtId="17" fontId="14" fillId="0" borderId="1" xfId="0" applyNumberFormat="1" applyFont="1" applyFill="1" applyBorder="1" applyAlignment="1" applyProtection="1">
      <alignment horizontal="center" vertical="center" wrapText="1"/>
    </xf>
    <xf numFmtId="164" fontId="14" fillId="0" borderId="1" xfId="3" applyNumberFormat="1" applyFont="1" applyFill="1" applyBorder="1" applyAlignment="1" applyProtection="1">
      <alignment vertical="center" wrapText="1"/>
    </xf>
    <xf numFmtId="1" fontId="14" fillId="13" borderId="1" xfId="0" applyNumberFormat="1" applyFont="1" applyFill="1" applyBorder="1" applyAlignment="1" applyProtection="1">
      <alignment horizontal="center" vertical="center" wrapText="1"/>
    </xf>
    <xf numFmtId="10" fontId="14" fillId="13" borderId="1" xfId="0" applyNumberFormat="1" applyFont="1" applyFill="1" applyBorder="1" applyAlignment="1" applyProtection="1">
      <alignment horizontal="center" vertical="center" wrapText="1"/>
    </xf>
    <xf numFmtId="1" fontId="14" fillId="12" borderId="1" xfId="0" applyNumberFormat="1" applyFont="1" applyFill="1" applyBorder="1" applyAlignment="1" applyProtection="1">
      <alignment horizontal="center" vertical="center" wrapText="1"/>
    </xf>
    <xf numFmtId="10" fontId="14" fillId="12" borderId="1" xfId="0" applyNumberFormat="1" applyFont="1" applyFill="1" applyBorder="1" applyAlignment="1" applyProtection="1">
      <alignment horizontal="center" vertical="center" wrapText="1"/>
    </xf>
    <xf numFmtId="164" fontId="14" fillId="13" borderId="1" xfId="3" applyNumberFormat="1" applyFont="1" applyFill="1" applyBorder="1" applyAlignment="1" applyProtection="1">
      <alignment vertical="center" wrapText="1"/>
    </xf>
    <xf numFmtId="164" fontId="14" fillId="13" borderId="1" xfId="3" applyNumberFormat="1" applyFont="1" applyFill="1" applyBorder="1" applyAlignment="1" applyProtection="1">
      <alignment horizontal="right" vertical="center" wrapText="1"/>
    </xf>
    <xf numFmtId="164" fontId="14" fillId="12" borderId="1" xfId="3" applyNumberFormat="1" applyFont="1" applyFill="1" applyBorder="1" applyAlignment="1" applyProtection="1">
      <alignment horizontal="right" vertical="center" wrapText="1"/>
    </xf>
    <xf numFmtId="17" fontId="14" fillId="4" borderId="1" xfId="0" applyNumberFormat="1" applyFont="1" applyFill="1" applyBorder="1" applyAlignment="1" applyProtection="1">
      <alignment horizontal="center" vertical="center" wrapText="1"/>
    </xf>
    <xf numFmtId="17" fontId="14" fillId="11" borderId="1" xfId="0" applyNumberFormat="1" applyFont="1" applyFill="1" applyBorder="1" applyAlignment="1" applyProtection="1">
      <alignment horizontal="center" vertical="center" wrapText="1"/>
    </xf>
    <xf numFmtId="164" fontId="14" fillId="11" borderId="1" xfId="3" quotePrefix="1" applyNumberFormat="1" applyFont="1" applyFill="1" applyBorder="1" applyAlignment="1" applyProtection="1">
      <alignment horizontal="right" vertical="center" wrapText="1"/>
    </xf>
    <xf numFmtId="164" fontId="14" fillId="11" borderId="1" xfId="3" applyNumberFormat="1" applyFont="1" applyFill="1" applyBorder="1" applyAlignment="1" applyProtection="1">
      <alignment horizontal="right" vertical="center" wrapText="1"/>
    </xf>
    <xf numFmtId="164" fontId="14" fillId="4" borderId="1" xfId="3" applyNumberFormat="1" applyFont="1" applyFill="1" applyBorder="1" applyAlignment="1" applyProtection="1">
      <alignment horizontal="right" vertical="center" wrapText="1"/>
    </xf>
    <xf numFmtId="17" fontId="0" fillId="0" borderId="1" xfId="0" applyNumberFormat="1" applyFont="1" applyFill="1" applyBorder="1" applyAlignment="1" applyProtection="1">
      <alignment horizontal="center" vertical="center" wrapText="1"/>
    </xf>
    <xf numFmtId="10" fontId="15" fillId="9" borderId="1" xfId="0" applyNumberFormat="1" applyFont="1" applyFill="1" applyBorder="1" applyAlignment="1" applyProtection="1">
      <alignment horizontal="center" vertical="center" wrapText="1"/>
    </xf>
    <xf numFmtId="0" fontId="0" fillId="0" borderId="0" xfId="0" applyFont="1" applyFill="1" applyAlignment="1" applyProtection="1">
      <alignment vertical="center" wrapText="1"/>
    </xf>
    <xf numFmtId="164" fontId="21" fillId="0" borderId="0" xfId="3" quotePrefix="1" applyNumberFormat="1" applyFont="1" applyFill="1" applyBorder="1" applyAlignment="1" applyProtection="1">
      <alignment horizontal="center" vertical="center" wrapText="1"/>
    </xf>
    <xf numFmtId="164" fontId="14" fillId="0" borderId="0" xfId="3" applyNumberFormat="1" applyFont="1" applyFill="1" applyBorder="1" applyAlignment="1" applyProtection="1">
      <alignment horizontal="right" vertical="center" wrapText="1"/>
    </xf>
    <xf numFmtId="164" fontId="20" fillId="4" borderId="0" xfId="3" applyNumberFormat="1" applyFont="1" applyFill="1" applyBorder="1" applyAlignment="1" applyProtection="1">
      <alignment horizontal="center" vertical="center"/>
    </xf>
    <xf numFmtId="0" fontId="0" fillId="0" borderId="0" xfId="0" applyAlignment="1" applyProtection="1">
      <alignment horizontal="center"/>
    </xf>
    <xf numFmtId="0" fontId="0" fillId="0" borderId="0" xfId="0" applyFill="1" applyProtection="1"/>
    <xf numFmtId="0" fontId="0" fillId="0" borderId="0" xfId="0" applyAlignment="1" applyProtection="1">
      <alignment vertical="center"/>
    </xf>
    <xf numFmtId="0" fontId="8" fillId="0" borderId="0" xfId="0" applyFont="1" applyFill="1" applyBorder="1" applyAlignment="1" applyProtection="1">
      <alignment vertical="center" wrapText="1"/>
    </xf>
    <xf numFmtId="1" fontId="3" fillId="0" borderId="1" xfId="1" applyNumberFormat="1" applyFont="1" applyBorder="1" applyAlignment="1" applyProtection="1">
      <alignment vertical="center" wrapText="1"/>
    </xf>
    <xf numFmtId="169" fontId="2" fillId="0" borderId="0" xfId="1" applyNumberFormat="1" applyFont="1" applyBorder="1" applyAlignment="1" applyProtection="1">
      <alignment vertical="center" wrapText="1"/>
    </xf>
    <xf numFmtId="164" fontId="2" fillId="0" borderId="0" xfId="2" applyNumberFormat="1" applyFont="1" applyFill="1" applyBorder="1" applyAlignment="1" applyProtection="1">
      <alignment vertical="center" wrapText="1"/>
    </xf>
    <xf numFmtId="0" fontId="16" fillId="0" borderId="0" xfId="0" applyFont="1" applyFill="1" applyBorder="1" applyAlignment="1" applyProtection="1"/>
    <xf numFmtId="0" fontId="18" fillId="0" borderId="0" xfId="1" applyFont="1" applyFill="1" applyBorder="1" applyAlignment="1" applyProtection="1">
      <alignment vertical="center" wrapText="1"/>
    </xf>
    <xf numFmtId="43" fontId="3" fillId="0" borderId="0" xfId="3" applyFont="1" applyBorder="1" applyAlignment="1" applyProtection="1">
      <alignment vertical="center" wrapText="1"/>
    </xf>
    <xf numFmtId="17" fontId="13" fillId="0" borderId="1" xfId="0" applyNumberFormat="1" applyFont="1" applyFill="1" applyBorder="1" applyAlignment="1">
      <alignment horizontal="center" vertical="center" wrapText="1"/>
    </xf>
    <xf numFmtId="17" fontId="14" fillId="4" borderId="1" xfId="0" applyNumberFormat="1" applyFont="1" applyFill="1" applyBorder="1" applyAlignment="1">
      <alignment horizontal="center" vertical="center" wrapText="1"/>
    </xf>
    <xf numFmtId="17" fontId="14" fillId="15" borderId="1" xfId="0" applyNumberFormat="1" applyFont="1" applyFill="1" applyBorder="1" applyAlignment="1" applyProtection="1">
      <alignment horizontal="center" vertical="center" wrapText="1"/>
    </xf>
    <xf numFmtId="164" fontId="14" fillId="15" borderId="1" xfId="3" quotePrefix="1" applyNumberFormat="1" applyFont="1" applyFill="1" applyBorder="1" applyAlignment="1" applyProtection="1">
      <alignment horizontal="right" vertical="center" wrapText="1"/>
    </xf>
    <xf numFmtId="164" fontId="14" fillId="15" borderId="1" xfId="3" applyNumberFormat="1" applyFont="1" applyFill="1" applyBorder="1" applyAlignment="1" applyProtection="1">
      <alignment horizontal="right" vertical="center" wrapText="1"/>
    </xf>
    <xf numFmtId="164" fontId="0" fillId="8" borderId="1" xfId="3" applyNumberFormat="1" applyFont="1" applyFill="1" applyBorder="1" applyAlignment="1" applyProtection="1">
      <alignment horizontal="center" vertical="center" wrapText="1"/>
    </xf>
    <xf numFmtId="164" fontId="1" fillId="14" borderId="1" xfId="3" applyNumberFormat="1" applyFont="1" applyFill="1" applyBorder="1" applyAlignment="1" applyProtection="1">
      <alignment horizontal="right" vertical="center"/>
      <protection locked="0"/>
    </xf>
    <xf numFmtId="164" fontId="14" fillId="9" borderId="1" xfId="3" quotePrefix="1" applyNumberFormat="1" applyFont="1" applyFill="1" applyBorder="1" applyAlignment="1" applyProtection="1">
      <alignment horizontal="right" vertical="center" wrapText="1"/>
    </xf>
    <xf numFmtId="0" fontId="14" fillId="9" borderId="1" xfId="0" applyFont="1" applyFill="1" applyBorder="1" applyAlignment="1" applyProtection="1">
      <alignment horizontal="left" vertical="center" wrapText="1"/>
    </xf>
    <xf numFmtId="164" fontId="13" fillId="9" borderId="1" xfId="3" applyNumberFormat="1" applyFont="1" applyFill="1" applyBorder="1" applyAlignment="1" applyProtection="1">
      <alignment horizontal="right" vertical="center" wrapText="1"/>
    </xf>
    <xf numFmtId="0" fontId="4" fillId="0" borderId="0" xfId="0" applyFont="1" applyAlignment="1" applyProtection="1">
      <alignment horizontal="center" vertical="center"/>
    </xf>
    <xf numFmtId="43" fontId="0" fillId="0" borderId="0" xfId="3" applyFont="1" applyAlignment="1" applyProtection="1">
      <alignment vertical="center"/>
    </xf>
    <xf numFmtId="0" fontId="0" fillId="0" borderId="0" xfId="0" applyAlignment="1" applyProtection="1">
      <alignment horizontal="center" vertical="center"/>
    </xf>
    <xf numFmtId="164" fontId="14" fillId="0" borderId="6" xfId="3" applyNumberFormat="1" applyFont="1" applyFill="1" applyBorder="1" applyAlignment="1" applyProtection="1">
      <alignment horizontal="right" vertical="center" wrapText="1"/>
    </xf>
    <xf numFmtId="164" fontId="2" fillId="7" borderId="6" xfId="3" quotePrefix="1" applyNumberFormat="1" applyFont="1" applyFill="1" applyBorder="1" applyAlignment="1" applyProtection="1">
      <alignment horizontal="center" vertical="center" wrapText="1"/>
    </xf>
    <xf numFmtId="164" fontId="14" fillId="0" borderId="4" xfId="3" applyNumberFormat="1" applyFont="1" applyFill="1" applyBorder="1" applyAlignment="1" applyProtection="1">
      <alignment horizontal="right" vertical="center" wrapText="1"/>
    </xf>
    <xf numFmtId="164" fontId="2" fillId="7" borderId="4" xfId="3" quotePrefix="1" applyNumberFormat="1" applyFont="1" applyFill="1" applyBorder="1" applyAlignment="1" applyProtection="1">
      <alignment horizontal="center" vertical="center" wrapText="1"/>
    </xf>
    <xf numFmtId="164" fontId="13" fillId="0" borderId="4" xfId="3" applyNumberFormat="1" applyFont="1" applyFill="1" applyBorder="1" applyAlignment="1" applyProtection="1">
      <alignment horizontal="center" vertical="center" wrapText="1"/>
    </xf>
    <xf numFmtId="14" fontId="14" fillId="0" borderId="1" xfId="0" applyNumberFormat="1" applyFont="1" applyFill="1" applyBorder="1" applyAlignment="1" applyProtection="1">
      <alignment horizontal="center" vertical="center" wrapText="1"/>
    </xf>
    <xf numFmtId="0" fontId="0" fillId="0" borderId="0" xfId="0" applyBorder="1" applyAlignment="1" applyProtection="1">
      <alignment vertical="center" wrapText="1"/>
    </xf>
    <xf numFmtId="0" fontId="0" fillId="0" borderId="1" xfId="0" applyFont="1" applyFill="1" applyBorder="1" applyAlignment="1" applyProtection="1">
      <alignment vertical="center" wrapText="1"/>
    </xf>
    <xf numFmtId="0" fontId="26" fillId="0" borderId="0" xfId="0" applyFont="1" applyFill="1" applyBorder="1" applyAlignment="1" applyProtection="1">
      <alignment vertical="center" wrapText="1"/>
    </xf>
    <xf numFmtId="164" fontId="29" fillId="0" borderId="0" xfId="1" applyNumberFormat="1" applyFont="1" applyFill="1" applyBorder="1" applyAlignment="1" applyProtection="1">
      <alignment vertical="center" wrapText="1"/>
    </xf>
    <xf numFmtId="165" fontId="2" fillId="15" borderId="1" xfId="0" applyNumberFormat="1" applyFont="1" applyFill="1" applyBorder="1" applyAlignment="1" applyProtection="1">
      <alignment horizontal="left" vertical="center"/>
    </xf>
    <xf numFmtId="0" fontId="2" fillId="0" borderId="0" xfId="0" applyFont="1" applyFill="1" applyBorder="1" applyAlignment="1" applyProtection="1">
      <alignment vertical="center" wrapText="1"/>
    </xf>
    <xf numFmtId="0" fontId="4" fillId="0" borderId="0" xfId="0" applyFont="1" applyFill="1" applyBorder="1" applyAlignment="1" applyProtection="1">
      <alignment vertical="center"/>
    </xf>
    <xf numFmtId="0" fontId="2" fillId="15" borderId="26" xfId="0" applyFont="1" applyFill="1" applyBorder="1" applyAlignment="1" applyProtection="1">
      <alignment vertical="center" wrapText="1"/>
    </xf>
    <xf numFmtId="43" fontId="22" fillId="10" borderId="27" xfId="3" quotePrefix="1" applyNumberFormat="1" applyFont="1" applyFill="1" applyBorder="1" applyAlignment="1" applyProtection="1">
      <alignment vertical="center"/>
    </xf>
    <xf numFmtId="0" fontId="31" fillId="0" borderId="0" xfId="0" applyFont="1" applyAlignment="1" applyProtection="1">
      <alignment vertical="center"/>
    </xf>
    <xf numFmtId="0" fontId="3" fillId="0" borderId="2" xfId="1" applyFont="1" applyFill="1" applyBorder="1" applyAlignment="1" applyProtection="1">
      <alignment horizontal="center" vertical="center" wrapText="1"/>
    </xf>
    <xf numFmtId="0" fontId="3" fillId="0" borderId="0" xfId="1" applyFont="1" applyFill="1" applyBorder="1" applyAlignment="1" applyProtection="1">
      <alignment horizontal="center" vertical="center" wrapText="1"/>
    </xf>
    <xf numFmtId="0" fontId="2" fillId="0" borderId="0" xfId="1" applyFont="1" applyFill="1" applyBorder="1" applyAlignment="1" applyProtection="1">
      <alignment horizontal="center" vertical="center" wrapText="1"/>
    </xf>
    <xf numFmtId="0" fontId="8" fillId="0" borderId="0" xfId="1" applyFont="1" applyFill="1" applyBorder="1" applyAlignment="1" applyProtection="1">
      <alignment horizontal="center" vertical="center" wrapText="1"/>
    </xf>
    <xf numFmtId="164" fontId="3" fillId="0" borderId="1" xfId="3" quotePrefix="1" applyNumberFormat="1" applyFont="1" applyBorder="1" applyAlignment="1" applyProtection="1">
      <alignment vertical="center" wrapText="1"/>
    </xf>
    <xf numFmtId="14" fontId="13" fillId="0" borderId="1" xfId="0" applyNumberFormat="1" applyFont="1" applyFill="1" applyBorder="1" applyAlignment="1">
      <alignment horizontal="center" vertical="center" wrapText="1"/>
    </xf>
    <xf numFmtId="164" fontId="0" fillId="0" borderId="0" xfId="2" applyNumberFormat="1" applyFont="1" applyBorder="1" applyAlignment="1" applyProtection="1">
      <alignment vertical="center" wrapText="1"/>
    </xf>
    <xf numFmtId="0" fontId="0" fillId="0" borderId="1" xfId="0" applyBorder="1" applyAlignment="1" applyProtection="1">
      <alignment horizontal="center" vertical="center" wrapText="1"/>
    </xf>
    <xf numFmtId="1" fontId="14" fillId="0" borderId="1" xfId="0" applyNumberFormat="1" applyFont="1" applyFill="1" applyBorder="1" applyAlignment="1" applyProtection="1">
      <alignment horizontal="center" vertical="center" wrapText="1"/>
    </xf>
    <xf numFmtId="0" fontId="2" fillId="0" borderId="1" xfId="0" applyFont="1" applyBorder="1" applyAlignment="1" applyProtection="1">
      <alignment horizontal="center" vertical="center" wrapText="1"/>
    </xf>
    <xf numFmtId="0" fontId="2" fillId="0" borderId="4" xfId="0" applyFont="1" applyBorder="1" applyAlignment="1" applyProtection="1">
      <alignment horizontal="center" vertical="center" wrapText="1"/>
    </xf>
    <xf numFmtId="0" fontId="13" fillId="0" borderId="1" xfId="0" applyFont="1" applyFill="1" applyBorder="1" applyAlignment="1" applyProtection="1">
      <alignment horizontal="center" vertical="center" wrapText="1"/>
    </xf>
    <xf numFmtId="0" fontId="13" fillId="0" borderId="4" xfId="0" applyFont="1" applyFill="1" applyBorder="1" applyAlignment="1" applyProtection="1">
      <alignment horizontal="center" vertical="center" wrapText="1"/>
    </xf>
    <xf numFmtId="0" fontId="0" fillId="0" borderId="17" xfId="0" applyBorder="1" applyAlignment="1" applyProtection="1">
      <alignment horizontal="center" vertical="center" wrapText="1"/>
    </xf>
    <xf numFmtId="0" fontId="0" fillId="0" borderId="18" xfId="0" applyBorder="1" applyAlignment="1" applyProtection="1">
      <alignment horizontal="center" vertical="center" wrapText="1"/>
    </xf>
    <xf numFmtId="1" fontId="13" fillId="0" borderId="1" xfId="0" applyNumberFormat="1" applyFont="1" applyFill="1" applyBorder="1" applyAlignment="1" applyProtection="1">
      <alignment horizontal="center" vertical="center" wrapText="1"/>
    </xf>
    <xf numFmtId="1" fontId="13" fillId="0" borderId="4" xfId="0" applyNumberFormat="1" applyFont="1" applyFill="1" applyBorder="1" applyAlignment="1" applyProtection="1">
      <alignment horizontal="center" vertical="center" wrapText="1"/>
    </xf>
    <xf numFmtId="0" fontId="2" fillId="0" borderId="12" xfId="0" applyFont="1" applyBorder="1" applyAlignment="1" applyProtection="1">
      <alignment horizontal="center" vertical="center" wrapText="1"/>
    </xf>
    <xf numFmtId="0" fontId="2" fillId="0" borderId="16" xfId="0" applyFont="1" applyBorder="1" applyAlignment="1" applyProtection="1">
      <alignment horizontal="center" vertical="center" wrapText="1"/>
    </xf>
    <xf numFmtId="0" fontId="2" fillId="0" borderId="7" xfId="0" applyFont="1" applyBorder="1" applyAlignment="1" applyProtection="1">
      <alignment horizontal="center" vertical="center" wrapText="1"/>
    </xf>
    <xf numFmtId="164" fontId="2" fillId="0" borderId="1" xfId="3" applyNumberFormat="1" applyFont="1" applyBorder="1" applyAlignment="1" applyProtection="1">
      <alignment horizontal="center" vertical="center" wrapText="1"/>
    </xf>
    <xf numFmtId="0" fontId="4" fillId="8" borderId="1" xfId="0" applyFont="1" applyFill="1" applyBorder="1" applyAlignment="1" applyProtection="1">
      <alignment vertical="center" wrapText="1"/>
    </xf>
    <xf numFmtId="164" fontId="1" fillId="14" borderId="1" xfId="3" applyNumberFormat="1" applyFont="1" applyFill="1" applyBorder="1" applyAlignment="1" applyProtection="1">
      <alignment vertical="center"/>
      <protection locked="0"/>
    </xf>
    <xf numFmtId="0" fontId="13" fillId="0" borderId="6" xfId="0" applyFont="1" applyFill="1" applyBorder="1" applyAlignment="1" applyProtection="1">
      <alignment horizontal="center" vertical="center" wrapText="1"/>
    </xf>
    <xf numFmtId="0" fontId="2" fillId="0" borderId="6" xfId="0" applyFont="1" applyBorder="1" applyAlignment="1" applyProtection="1">
      <alignment horizontal="center" vertical="center" wrapText="1"/>
    </xf>
    <xf numFmtId="1" fontId="13" fillId="0" borderId="6" xfId="0" applyNumberFormat="1" applyFont="1" applyFill="1" applyBorder="1" applyAlignment="1" applyProtection="1">
      <alignment horizontal="center" vertical="center" wrapText="1"/>
    </xf>
    <xf numFmtId="164" fontId="2" fillId="0" borderId="6" xfId="3" applyNumberFormat="1" applyFont="1" applyBorder="1" applyAlignment="1" applyProtection="1">
      <alignment horizontal="center" vertical="center" wrapText="1"/>
    </xf>
    <xf numFmtId="0" fontId="0" fillId="0" borderId="6" xfId="0" applyBorder="1" applyAlignment="1" applyProtection="1">
      <alignment horizontal="center" vertical="center" wrapText="1"/>
    </xf>
    <xf numFmtId="0" fontId="13" fillId="0" borderId="16" xfId="0" applyFont="1" applyFill="1" applyBorder="1" applyAlignment="1" applyProtection="1">
      <alignment horizontal="center" vertical="center" wrapText="1"/>
    </xf>
    <xf numFmtId="0" fontId="4" fillId="15" borderId="25" xfId="0" applyFont="1" applyFill="1" applyBorder="1" applyAlignment="1" applyProtection="1">
      <alignment horizontal="center" vertical="center" wrapText="1"/>
    </xf>
    <xf numFmtId="164" fontId="22" fillId="2" borderId="27" xfId="3" applyNumberFormat="1" applyFont="1" applyFill="1" applyBorder="1" applyAlignment="1" applyProtection="1">
      <alignment vertical="center"/>
    </xf>
    <xf numFmtId="164" fontId="22" fillId="10" borderId="27" xfId="3" quotePrefix="1" applyNumberFormat="1" applyFont="1" applyFill="1" applyBorder="1" applyAlignment="1" applyProtection="1">
      <alignment vertical="center"/>
    </xf>
    <xf numFmtId="0" fontId="0" fillId="0" borderId="0" xfId="0" applyFill="1" applyAlignment="1" applyProtection="1">
      <alignment vertical="center"/>
    </xf>
    <xf numFmtId="10" fontId="22" fillId="10" borderId="27" xfId="4" quotePrefix="1" applyNumberFormat="1" applyFont="1" applyFill="1" applyBorder="1" applyAlignment="1" applyProtection="1">
      <alignment vertical="center"/>
    </xf>
    <xf numFmtId="164" fontId="0" fillId="0" borderId="1" xfId="3" applyNumberFormat="1" applyFont="1" applyBorder="1" applyAlignment="1" applyProtection="1">
      <alignment vertical="center" wrapText="1"/>
    </xf>
    <xf numFmtId="165" fontId="2" fillId="14" borderId="1" xfId="0" applyNumberFormat="1" applyFont="1" applyFill="1" applyBorder="1" applyAlignment="1" applyProtection="1">
      <alignment vertical="center" wrapText="1"/>
      <protection locked="0"/>
    </xf>
    <xf numFmtId="0" fontId="2" fillId="15" borderId="28" xfId="0" applyFont="1" applyFill="1" applyBorder="1" applyAlignment="1" applyProtection="1">
      <alignment vertical="center" wrapText="1"/>
    </xf>
    <xf numFmtId="0" fontId="0" fillId="0" borderId="16" xfId="0" applyBorder="1" applyAlignment="1" applyProtection="1">
      <alignment horizontal="center" vertical="center" wrapText="1"/>
    </xf>
    <xf numFmtId="0" fontId="0" fillId="0" borderId="16" xfId="0" applyFont="1" applyFill="1" applyBorder="1" applyAlignment="1" applyProtection="1">
      <alignment horizontal="center" vertical="center" wrapText="1"/>
    </xf>
    <xf numFmtId="0" fontId="2" fillId="0" borderId="1" xfId="0" applyFont="1" applyFill="1" applyBorder="1" applyAlignment="1" applyProtection="1">
      <alignment vertical="center" wrapText="1"/>
    </xf>
    <xf numFmtId="0" fontId="2" fillId="0" borderId="0" xfId="0" applyFont="1" applyAlignment="1" applyProtection="1">
      <alignment vertical="center" wrapText="1"/>
    </xf>
    <xf numFmtId="0" fontId="2" fillId="0" borderId="0" xfId="0" applyFont="1" applyBorder="1" applyAlignment="1" applyProtection="1">
      <alignment vertical="center" wrapText="1"/>
    </xf>
    <xf numFmtId="0" fontId="0" fillId="0" borderId="11" xfId="0" quotePrefix="1" applyFont="1" applyFill="1" applyBorder="1" applyAlignment="1" applyProtection="1">
      <alignment vertical="center" wrapText="1"/>
    </xf>
    <xf numFmtId="0" fontId="0" fillId="0" borderId="37" xfId="0" applyFont="1" applyFill="1" applyBorder="1" applyAlignment="1" applyProtection="1">
      <alignment horizontal="center" vertical="center" wrapText="1"/>
    </xf>
    <xf numFmtId="0" fontId="0" fillId="0" borderId="36" xfId="0" applyFont="1" applyBorder="1" applyAlignment="1" applyProtection="1">
      <alignment vertical="center" wrapText="1"/>
    </xf>
    <xf numFmtId="1" fontId="0" fillId="9" borderId="28" xfId="0" applyNumberFormat="1" applyFont="1" applyFill="1" applyBorder="1" applyAlignment="1" applyProtection="1">
      <alignment horizontal="center" vertical="center" wrapText="1"/>
    </xf>
    <xf numFmtId="1" fontId="0" fillId="0" borderId="29" xfId="0" applyNumberFormat="1" applyFont="1" applyBorder="1" applyAlignment="1" applyProtection="1">
      <alignment horizontal="center" vertical="center" wrapText="1"/>
    </xf>
    <xf numFmtId="14" fontId="12" fillId="0" borderId="29" xfId="0" applyNumberFormat="1" applyFont="1" applyFill="1" applyBorder="1" applyAlignment="1" applyProtection="1">
      <alignment vertical="center" wrapText="1"/>
    </xf>
    <xf numFmtId="14" fontId="12" fillId="0" borderId="30" xfId="0" applyNumberFormat="1" applyFont="1" applyFill="1" applyBorder="1" applyAlignment="1" applyProtection="1">
      <alignment vertical="center" wrapText="1"/>
    </xf>
    <xf numFmtId="0" fontId="0" fillId="0" borderId="26" xfId="0" applyFont="1" applyFill="1" applyBorder="1" applyAlignment="1" applyProtection="1">
      <alignment horizontal="center" vertical="center" wrapText="1"/>
    </xf>
    <xf numFmtId="1" fontId="0" fillId="0" borderId="28" xfId="0" applyNumberFormat="1" applyFont="1" applyBorder="1" applyAlignment="1" applyProtection="1">
      <alignment horizontal="center" vertical="center" wrapText="1"/>
    </xf>
    <xf numFmtId="167" fontId="2" fillId="15" borderId="1" xfId="0" applyNumberFormat="1" applyFont="1" applyFill="1" applyBorder="1" applyAlignment="1" applyProtection="1">
      <alignment horizontal="center" vertical="center"/>
    </xf>
    <xf numFmtId="0" fontId="17" fillId="0" borderId="0" xfId="0" applyFont="1" applyFill="1" applyBorder="1" applyAlignment="1" applyProtection="1">
      <alignment vertical="center"/>
    </xf>
    <xf numFmtId="0" fontId="3" fillId="0" borderId="0" xfId="1" quotePrefix="1" applyFont="1" applyBorder="1" applyAlignment="1" applyProtection="1">
      <alignment vertical="center" wrapText="1"/>
    </xf>
    <xf numFmtId="0" fontId="33" fillId="0" borderId="0" xfId="0" applyFont="1" applyBorder="1" applyAlignment="1">
      <alignment vertical="center" wrapText="1"/>
    </xf>
    <xf numFmtId="164" fontId="32" fillId="15" borderId="27" xfId="3" quotePrefix="1" applyNumberFormat="1" applyFont="1" applyFill="1" applyBorder="1" applyAlignment="1" applyProtection="1">
      <alignment vertical="center"/>
    </xf>
    <xf numFmtId="10" fontId="22" fillId="10" borderId="27" xfId="4" quotePrefix="1" applyNumberFormat="1" applyFont="1" applyFill="1" applyBorder="1" applyAlignment="1" applyProtection="1">
      <alignment horizontal="right" vertical="center"/>
    </xf>
    <xf numFmtId="43" fontId="22" fillId="10" borderId="27" xfId="3" quotePrefix="1" applyNumberFormat="1" applyFont="1" applyFill="1" applyBorder="1" applyAlignment="1" applyProtection="1">
      <alignment horizontal="right" vertical="center"/>
    </xf>
    <xf numFmtId="43" fontId="22" fillId="10" borderId="30" xfId="3" quotePrefix="1" applyNumberFormat="1" applyFont="1" applyFill="1" applyBorder="1" applyAlignment="1" applyProtection="1">
      <alignment horizontal="right" vertical="center"/>
    </xf>
    <xf numFmtId="0" fontId="8" fillId="0" borderId="0" xfId="1" applyFont="1" applyFill="1" applyBorder="1" applyAlignment="1" applyProtection="1">
      <alignment vertical="center" wrapText="1"/>
    </xf>
    <xf numFmtId="164" fontId="0" fillId="0" borderId="0" xfId="2" applyNumberFormat="1" applyFont="1" applyFill="1" applyBorder="1" applyAlignment="1" applyProtection="1">
      <alignment horizontal="center" vertical="center" wrapText="1"/>
    </xf>
    <xf numFmtId="0" fontId="4" fillId="0" borderId="0" xfId="1" applyFont="1" applyFill="1" applyBorder="1" applyAlignment="1" applyProtection="1">
      <alignment vertical="center" wrapText="1"/>
    </xf>
    <xf numFmtId="166" fontId="3" fillId="0" borderId="0" xfId="1" applyNumberFormat="1" applyFont="1" applyFill="1" applyBorder="1" applyAlignment="1" applyProtection="1">
      <alignment vertical="center" wrapText="1"/>
    </xf>
    <xf numFmtId="0" fontId="0" fillId="0" borderId="1" xfId="0" applyFill="1" applyBorder="1" applyProtection="1"/>
    <xf numFmtId="164" fontId="1" fillId="0" borderId="1" xfId="3" applyNumberFormat="1" applyFont="1" applyFill="1" applyBorder="1" applyAlignment="1" applyProtection="1">
      <alignment horizontal="right" vertical="center"/>
      <protection locked="0"/>
    </xf>
    <xf numFmtId="0" fontId="0" fillId="0" borderId="0" xfId="0" applyFill="1" applyAlignment="1" applyProtection="1">
      <alignment vertical="center" wrapText="1"/>
    </xf>
    <xf numFmtId="14" fontId="2" fillId="0" borderId="1" xfId="0" applyNumberFormat="1" applyFont="1" applyFill="1" applyBorder="1" applyAlignment="1">
      <alignment horizontal="center" vertical="center" wrapText="1"/>
    </xf>
    <xf numFmtId="17" fontId="2" fillId="0" borderId="1" xfId="0" applyNumberFormat="1" applyFont="1" applyFill="1" applyBorder="1" applyAlignment="1">
      <alignment horizontal="center" vertical="center" wrapText="1"/>
    </xf>
    <xf numFmtId="164" fontId="0" fillId="0" borderId="1" xfId="3" applyNumberFormat="1" applyFont="1" applyFill="1" applyBorder="1" applyAlignment="1">
      <alignment horizontal="center" vertical="center" wrapText="1"/>
    </xf>
    <xf numFmtId="0" fontId="2" fillId="15" borderId="26" xfId="0" applyFont="1" applyFill="1" applyBorder="1" applyAlignment="1" applyProtection="1">
      <alignment horizontal="left" vertical="center" wrapText="1"/>
    </xf>
    <xf numFmtId="0" fontId="33" fillId="0" borderId="0" xfId="0" applyFont="1" applyBorder="1" applyAlignment="1">
      <alignment horizontal="center" vertical="center" wrapText="1"/>
    </xf>
    <xf numFmtId="49" fontId="0" fillId="0" borderId="0" xfId="0" applyNumberFormat="1" applyAlignment="1" applyProtection="1">
      <alignment horizontal="center" vertical="center"/>
    </xf>
    <xf numFmtId="0" fontId="2" fillId="9" borderId="1" xfId="0" applyFont="1" applyFill="1" applyBorder="1" applyAlignment="1" applyProtection="1">
      <alignment horizontal="left" vertical="center" wrapText="1"/>
    </xf>
    <xf numFmtId="0" fontId="2" fillId="15" borderId="1" xfId="0" applyFont="1" applyFill="1" applyBorder="1" applyAlignment="1" applyProtection="1">
      <alignment horizontal="left" vertical="center" wrapText="1"/>
    </xf>
    <xf numFmtId="43" fontId="22" fillId="10" borderId="27" xfId="3" quotePrefix="1" applyFont="1" applyFill="1" applyBorder="1" applyAlignment="1" applyProtection="1">
      <alignment vertical="center"/>
    </xf>
    <xf numFmtId="0" fontId="4" fillId="16" borderId="24" xfId="0" applyFont="1" applyFill="1" applyBorder="1" applyAlignment="1" applyProtection="1">
      <alignment horizontal="center" vertical="center" wrapText="1"/>
    </xf>
    <xf numFmtId="1" fontId="4" fillId="16" borderId="1" xfId="0" applyNumberFormat="1" applyFont="1" applyFill="1" applyBorder="1" applyAlignment="1" applyProtection="1">
      <alignment horizontal="center" vertical="center" wrapText="1"/>
    </xf>
    <xf numFmtId="49" fontId="4" fillId="16" borderId="1" xfId="0" applyNumberFormat="1" applyFont="1" applyFill="1" applyBorder="1" applyAlignment="1" applyProtection="1">
      <alignment horizontal="center" vertical="center" wrapText="1"/>
    </xf>
    <xf numFmtId="0" fontId="4" fillId="16" borderId="1" xfId="0" applyFont="1" applyFill="1" applyBorder="1" applyAlignment="1" applyProtection="1">
      <alignment horizontal="center" vertical="center" wrapText="1"/>
    </xf>
    <xf numFmtId="49" fontId="2" fillId="16" borderId="1" xfId="0" applyNumberFormat="1" applyFont="1" applyFill="1" applyBorder="1" applyAlignment="1" applyProtection="1">
      <alignment horizontal="center" vertical="center" wrapText="1"/>
    </xf>
    <xf numFmtId="49" fontId="2" fillId="16" borderId="29" xfId="0" applyNumberFormat="1" applyFont="1" applyFill="1" applyBorder="1" applyAlignment="1" applyProtection="1">
      <alignment horizontal="center" vertical="center" wrapText="1"/>
    </xf>
    <xf numFmtId="0" fontId="4" fillId="8" borderId="23" xfId="0" applyFont="1" applyFill="1" applyBorder="1" applyAlignment="1" applyProtection="1">
      <alignment horizontal="center" vertical="center"/>
    </xf>
    <xf numFmtId="0" fontId="4" fillId="8" borderId="24" xfId="0" applyFont="1" applyFill="1" applyBorder="1" applyAlignment="1" applyProtection="1">
      <alignment horizontal="center" vertical="center" wrapText="1"/>
    </xf>
    <xf numFmtId="0" fontId="4" fillId="8" borderId="24" xfId="0" applyFont="1" applyFill="1" applyBorder="1" applyAlignment="1" applyProtection="1">
      <alignment horizontal="center" vertical="center"/>
    </xf>
    <xf numFmtId="0" fontId="4" fillId="8" borderId="25" xfId="0" applyFont="1" applyFill="1" applyBorder="1" applyAlignment="1" applyProtection="1">
      <alignment horizontal="center" vertical="center" wrapText="1"/>
    </xf>
    <xf numFmtId="0" fontId="4" fillId="8" borderId="25" xfId="0" applyFont="1" applyFill="1" applyBorder="1" applyAlignment="1" applyProtection="1">
      <alignment horizontal="center" vertical="center"/>
    </xf>
    <xf numFmtId="0" fontId="2" fillId="0" borderId="0" xfId="0" applyFont="1" applyFill="1" applyBorder="1" applyAlignment="1" applyProtection="1">
      <alignment horizontal="left" vertical="center" wrapText="1"/>
    </xf>
    <xf numFmtId="0" fontId="2" fillId="0" borderId="0" xfId="0" applyFont="1" applyFill="1" applyBorder="1" applyAlignment="1" applyProtection="1">
      <alignment horizontal="center" vertical="center" wrapText="1"/>
    </xf>
    <xf numFmtId="164" fontId="22" fillId="0" borderId="0" xfId="3" applyNumberFormat="1" applyFont="1" applyFill="1" applyBorder="1" applyAlignment="1" applyProtection="1">
      <alignment vertical="center"/>
    </xf>
    <xf numFmtId="49" fontId="2" fillId="0" borderId="0" xfId="0" applyNumberFormat="1" applyFont="1" applyFill="1" applyBorder="1" applyAlignment="1" applyProtection="1">
      <alignment horizontal="center" vertical="center" wrapText="1"/>
    </xf>
    <xf numFmtId="43" fontId="22" fillId="0" borderId="0" xfId="3" quotePrefix="1" applyNumberFormat="1" applyFont="1" applyFill="1" applyBorder="1" applyAlignment="1" applyProtection="1">
      <alignment horizontal="right" vertical="center"/>
    </xf>
    <xf numFmtId="0" fontId="16" fillId="0" borderId="0" xfId="0" applyFont="1" applyFill="1" applyBorder="1" applyAlignment="1" applyProtection="1">
      <alignment horizontal="center" vertical="center" wrapText="1"/>
    </xf>
    <xf numFmtId="0" fontId="0" fillId="0" borderId="0" xfId="0" applyBorder="1" applyAlignment="1" applyProtection="1">
      <alignment vertical="center"/>
    </xf>
    <xf numFmtId="49" fontId="5" fillId="7" borderId="1" xfId="0" applyNumberFormat="1" applyFont="1" applyFill="1" applyBorder="1" applyAlignment="1" applyProtection="1">
      <alignment vertical="center" wrapText="1"/>
    </xf>
    <xf numFmtId="0" fontId="3" fillId="0" borderId="1" xfId="1" applyFont="1" applyBorder="1" applyAlignment="1" applyProtection="1">
      <alignment horizontal="center" vertical="center" wrapText="1"/>
    </xf>
    <xf numFmtId="0" fontId="2" fillId="3" borderId="1" xfId="1" applyFont="1" applyFill="1" applyBorder="1" applyAlignment="1" applyProtection="1">
      <alignment horizontal="center" vertical="center" wrapText="1"/>
    </xf>
    <xf numFmtId="0" fontId="2" fillId="3" borderId="4" xfId="1" applyFont="1" applyFill="1" applyBorder="1" applyAlignment="1" applyProtection="1">
      <alignment horizontal="center" vertical="center" wrapText="1"/>
    </xf>
    <xf numFmtId="0" fontId="2" fillId="3" borderId="5" xfId="1" applyFont="1" applyFill="1" applyBorder="1" applyAlignment="1" applyProtection="1">
      <alignment horizontal="center" vertical="center" wrapText="1"/>
    </xf>
    <xf numFmtId="0" fontId="2" fillId="3" borderId="6" xfId="1" applyFont="1" applyFill="1" applyBorder="1" applyAlignment="1" applyProtection="1">
      <alignment horizontal="center" vertical="center" wrapText="1"/>
    </xf>
    <xf numFmtId="0" fontId="3" fillId="0" borderId="0" xfId="1" applyFont="1" applyBorder="1" applyAlignment="1" applyProtection="1">
      <alignment horizontal="center" vertical="center" wrapText="1"/>
    </xf>
    <xf numFmtId="0" fontId="2" fillId="15" borderId="1" xfId="0" applyFont="1" applyFill="1" applyBorder="1" applyAlignment="1" applyProtection="1">
      <alignment horizontal="left" vertical="center" wrapText="1"/>
    </xf>
    <xf numFmtId="164" fontId="0" fillId="14" borderId="1" xfId="3" applyNumberFormat="1" applyFont="1" applyFill="1" applyBorder="1" applyAlignment="1" applyProtection="1">
      <alignment horizontal="right" vertical="center"/>
      <protection locked="0"/>
    </xf>
    <xf numFmtId="164" fontId="0" fillId="14" borderId="1" xfId="3" applyNumberFormat="1" applyFont="1" applyFill="1" applyBorder="1" applyAlignment="1" applyProtection="1">
      <alignment vertical="center"/>
      <protection locked="0"/>
    </xf>
    <xf numFmtId="17" fontId="13" fillId="0" borderId="1" xfId="0" applyNumberFormat="1" applyFont="1" applyBorder="1" applyAlignment="1" applyProtection="1">
      <alignment horizontal="center" vertical="center" wrapText="1"/>
    </xf>
    <xf numFmtId="0" fontId="0" fillId="0" borderId="1" xfId="0" applyBorder="1" applyAlignment="1" applyProtection="1">
      <alignment vertical="center"/>
    </xf>
    <xf numFmtId="17" fontId="13" fillId="11" borderId="1" xfId="0" applyNumberFormat="1" applyFont="1" applyFill="1" applyBorder="1" applyAlignment="1" applyProtection="1">
      <alignment horizontal="center" vertical="center" wrapText="1"/>
    </xf>
    <xf numFmtId="0" fontId="4" fillId="0" borderId="45" xfId="0" applyFont="1" applyFill="1" applyBorder="1" applyAlignment="1" applyProtection="1">
      <alignment vertical="center" wrapText="1"/>
    </xf>
    <xf numFmtId="0" fontId="4" fillId="0" borderId="11" xfId="0" applyFont="1" applyFill="1" applyBorder="1" applyAlignment="1" applyProtection="1">
      <alignment vertical="center" wrapText="1"/>
    </xf>
    <xf numFmtId="0" fontId="4" fillId="0" borderId="46" xfId="0" applyFont="1" applyFill="1" applyBorder="1" applyAlignment="1" applyProtection="1">
      <alignment vertical="center" wrapText="1"/>
    </xf>
    <xf numFmtId="0" fontId="2" fillId="15" borderId="26" xfId="0" applyFont="1" applyFill="1" applyBorder="1" applyAlignment="1">
      <alignment vertical="center" wrapText="1"/>
    </xf>
    <xf numFmtId="49" fontId="2" fillId="16" borderId="1" xfId="0" applyNumberFormat="1" applyFont="1" applyFill="1" applyBorder="1" applyAlignment="1">
      <alignment horizontal="center" vertical="center" wrapText="1"/>
    </xf>
    <xf numFmtId="0" fontId="2" fillId="0" borderId="45" xfId="0" applyFont="1" applyFill="1" applyBorder="1" applyAlignment="1" applyProtection="1">
      <alignment vertical="center" wrapText="1"/>
    </xf>
    <xf numFmtId="0" fontId="2" fillId="0" borderId="11" xfId="0" applyFont="1" applyFill="1" applyBorder="1" applyAlignment="1" applyProtection="1">
      <alignment vertical="center" wrapText="1"/>
    </xf>
    <xf numFmtId="0" fontId="2" fillId="0" borderId="46" xfId="0" applyFont="1" applyFill="1" applyBorder="1" applyAlignment="1" applyProtection="1">
      <alignment vertical="center" wrapText="1"/>
    </xf>
    <xf numFmtId="2" fontId="22" fillId="10" borderId="27" xfId="4" quotePrefix="1" applyNumberFormat="1" applyFont="1" applyFill="1" applyBorder="1" applyAlignment="1" applyProtection="1">
      <alignment vertical="center"/>
    </xf>
    <xf numFmtId="0" fontId="0" fillId="7" borderId="1" xfId="0" applyFill="1" applyBorder="1" applyAlignment="1" applyProtection="1">
      <alignment horizontal="center" vertical="center"/>
    </xf>
    <xf numFmtId="49" fontId="5" fillId="7" borderId="1" xfId="0" applyNumberFormat="1" applyFont="1" applyFill="1" applyBorder="1" applyAlignment="1" applyProtection="1">
      <alignment vertical="center" wrapText="1"/>
    </xf>
    <xf numFmtId="0" fontId="4" fillId="8" borderId="1" xfId="0" applyFont="1" applyFill="1" applyBorder="1" applyAlignment="1" applyProtection="1">
      <alignment horizontal="center" vertical="center" wrapText="1"/>
    </xf>
    <xf numFmtId="0" fontId="4" fillId="8" borderId="1" xfId="0" applyFont="1" applyFill="1" applyBorder="1" applyAlignment="1" applyProtection="1">
      <alignment horizontal="center" vertical="center"/>
    </xf>
    <xf numFmtId="0" fontId="16" fillId="8" borderId="4" xfId="0" applyFont="1" applyFill="1" applyBorder="1" applyAlignment="1" applyProtection="1">
      <alignment horizontal="center" vertical="center"/>
    </xf>
    <xf numFmtId="0" fontId="16" fillId="8" borderId="5" xfId="0" applyFont="1" applyFill="1" applyBorder="1" applyAlignment="1" applyProtection="1">
      <alignment horizontal="center" vertical="center"/>
    </xf>
    <xf numFmtId="0" fontId="16" fillId="8" borderId="6" xfId="0" applyFont="1" applyFill="1" applyBorder="1" applyAlignment="1" applyProtection="1">
      <alignment horizontal="center" vertical="center"/>
    </xf>
    <xf numFmtId="0" fontId="26" fillId="7" borderId="1" xfId="1" applyFont="1" applyFill="1" applyBorder="1" applyAlignment="1" applyProtection="1">
      <alignment horizontal="center" vertical="center" wrapText="1"/>
    </xf>
    <xf numFmtId="0" fontId="2" fillId="7" borderId="4" xfId="1" applyFont="1" applyFill="1" applyBorder="1" applyAlignment="1" applyProtection="1">
      <alignment vertical="center" wrapText="1"/>
    </xf>
    <xf numFmtId="0" fontId="2" fillId="7" borderId="5" xfId="1" applyFont="1" applyFill="1" applyBorder="1" applyAlignment="1" applyProtection="1">
      <alignment vertical="center" wrapText="1"/>
    </xf>
    <xf numFmtId="0" fontId="2" fillId="7" borderId="6" xfId="1" applyFont="1" applyFill="1" applyBorder="1" applyAlignment="1" applyProtection="1">
      <alignment vertical="center" wrapText="1"/>
    </xf>
    <xf numFmtId="164" fontId="1" fillId="14" borderId="17" xfId="3" applyNumberFormat="1" applyFont="1" applyFill="1" applyBorder="1" applyAlignment="1" applyProtection="1">
      <alignment horizontal="center" vertical="center"/>
      <protection locked="0"/>
    </xf>
    <xf numFmtId="164" fontId="1" fillId="14" borderId="16" xfId="3" applyNumberFormat="1" applyFont="1" applyFill="1" applyBorder="1" applyAlignment="1" applyProtection="1">
      <alignment horizontal="center" vertical="center"/>
      <protection locked="0"/>
    </xf>
    <xf numFmtId="165" fontId="2" fillId="14" borderId="1" xfId="0" applyNumberFormat="1" applyFont="1" applyFill="1" applyBorder="1" applyAlignment="1" applyProtection="1">
      <alignment horizontal="center" vertical="center" wrapText="1"/>
      <protection locked="0"/>
    </xf>
    <xf numFmtId="164" fontId="2" fillId="14" borderId="4" xfId="3" applyNumberFormat="1" applyFont="1" applyFill="1" applyBorder="1" applyAlignment="1" applyProtection="1">
      <alignment horizontal="center" vertical="center" wrapText="1"/>
      <protection locked="0"/>
    </xf>
    <xf numFmtId="164" fontId="2" fillId="14" borderId="5" xfId="3" applyNumberFormat="1" applyFont="1" applyFill="1" applyBorder="1" applyAlignment="1" applyProtection="1">
      <alignment horizontal="center" vertical="center" wrapText="1"/>
      <protection locked="0"/>
    </xf>
    <xf numFmtId="164" fontId="2" fillId="14" borderId="6" xfId="3" applyNumberFormat="1" applyFont="1" applyFill="1" applyBorder="1" applyAlignment="1" applyProtection="1">
      <alignment horizontal="center" vertical="center" wrapText="1"/>
      <protection locked="0"/>
    </xf>
    <xf numFmtId="0" fontId="2" fillId="8" borderId="4" xfId="0" applyFont="1" applyFill="1" applyBorder="1" applyAlignment="1" applyProtection="1">
      <alignment horizontal="center" vertical="center" wrapText="1"/>
    </xf>
    <xf numFmtId="0" fontId="2" fillId="8" borderId="5" xfId="0" applyFont="1" applyFill="1" applyBorder="1" applyAlignment="1" applyProtection="1">
      <alignment horizontal="center" vertical="center" wrapText="1"/>
    </xf>
    <xf numFmtId="0" fontId="26" fillId="7" borderId="10" xfId="1" applyFont="1" applyFill="1" applyBorder="1" applyAlignment="1" applyProtection="1">
      <alignment horizontal="center" vertical="center" wrapText="1"/>
    </xf>
    <xf numFmtId="0" fontId="26" fillId="7" borderId="12" xfId="1" applyFont="1" applyFill="1" applyBorder="1" applyAlignment="1" applyProtection="1">
      <alignment horizontal="center" vertical="center" wrapText="1"/>
    </xf>
    <xf numFmtId="0" fontId="19" fillId="2" borderId="1" xfId="0" applyFont="1" applyFill="1" applyBorder="1" applyAlignment="1" applyProtection="1">
      <alignment horizontal="center" vertical="center" wrapText="1"/>
    </xf>
    <xf numFmtId="0" fontId="18" fillId="2" borderId="1" xfId="0" applyFont="1" applyFill="1" applyBorder="1" applyAlignment="1" applyProtection="1">
      <alignment horizontal="center" vertical="center" wrapText="1"/>
    </xf>
    <xf numFmtId="0" fontId="28" fillId="17" borderId="1" xfId="0" applyFont="1" applyFill="1" applyBorder="1" applyAlignment="1" applyProtection="1">
      <alignment horizontal="center" vertical="center" wrapText="1"/>
    </xf>
    <xf numFmtId="0" fontId="26" fillId="2" borderId="1" xfId="0" applyFont="1" applyFill="1" applyBorder="1" applyAlignment="1" applyProtection="1">
      <alignment horizontal="center" vertical="center" wrapText="1"/>
    </xf>
    <xf numFmtId="0" fontId="26" fillId="2" borderId="4" xfId="0" applyFont="1" applyFill="1" applyBorder="1" applyAlignment="1" applyProtection="1">
      <alignment horizontal="center" vertical="center" wrapText="1"/>
    </xf>
    <xf numFmtId="0" fontId="26" fillId="2" borderId="5" xfId="0" applyFont="1" applyFill="1" applyBorder="1" applyAlignment="1" applyProtection="1">
      <alignment horizontal="center" vertical="center" wrapText="1"/>
    </xf>
    <xf numFmtId="0" fontId="26" fillId="2" borderId="6" xfId="0" applyFont="1" applyFill="1" applyBorder="1" applyAlignment="1" applyProtection="1">
      <alignment horizontal="center" vertical="center" wrapText="1"/>
    </xf>
    <xf numFmtId="0" fontId="2" fillId="0" borderId="1" xfId="0" applyFont="1" applyBorder="1" applyAlignment="1" applyProtection="1">
      <alignment horizontal="center" vertical="center"/>
    </xf>
    <xf numFmtId="0" fontId="2" fillId="7" borderId="1" xfId="0" applyFont="1" applyFill="1" applyBorder="1" applyAlignment="1" applyProtection="1">
      <alignment horizontal="center" vertical="center" wrapText="1"/>
    </xf>
    <xf numFmtId="0" fontId="3" fillId="0" borderId="1" xfId="1" applyFont="1" applyBorder="1" applyAlignment="1" applyProtection="1">
      <alignment horizontal="center" vertical="center" wrapText="1"/>
    </xf>
    <xf numFmtId="0" fontId="7" fillId="18" borderId="1" xfId="1" applyFont="1" applyFill="1" applyBorder="1" applyAlignment="1" applyProtection="1">
      <alignment horizontal="center" vertical="center" wrapText="1"/>
    </xf>
    <xf numFmtId="0" fontId="2" fillId="3" borderId="1" xfId="1" applyFont="1" applyFill="1" applyBorder="1" applyAlignment="1" applyProtection="1">
      <alignment horizontal="center" vertical="center" wrapText="1"/>
    </xf>
    <xf numFmtId="1" fontId="2" fillId="3" borderId="1" xfId="1" quotePrefix="1" applyNumberFormat="1" applyFont="1" applyFill="1" applyBorder="1" applyAlignment="1" applyProtection="1">
      <alignment horizontal="center" vertical="center" wrapText="1"/>
    </xf>
    <xf numFmtId="49" fontId="2" fillId="3" borderId="1" xfId="1" applyNumberFormat="1" applyFont="1" applyFill="1" applyBorder="1" applyAlignment="1" applyProtection="1">
      <alignment horizontal="center" vertical="center" wrapText="1"/>
    </xf>
    <xf numFmtId="0" fontId="11" fillId="0" borderId="1" xfId="1" applyFont="1" applyBorder="1" applyAlignment="1" applyProtection="1">
      <alignment horizontal="center" vertical="center" wrapText="1"/>
    </xf>
    <xf numFmtId="166" fontId="3" fillId="0" borderId="1" xfId="1" applyNumberFormat="1" applyFont="1" applyBorder="1" applyAlignment="1" applyProtection="1">
      <alignment horizontal="center" vertical="center" wrapText="1"/>
    </xf>
    <xf numFmtId="164" fontId="0" fillId="0" borderId="4" xfId="2" applyNumberFormat="1" applyFont="1" applyFill="1" applyBorder="1" applyAlignment="1" applyProtection="1">
      <alignment horizontal="center" vertical="center" wrapText="1"/>
    </xf>
    <xf numFmtId="164" fontId="0" fillId="0" borderId="5" xfId="2" applyNumberFormat="1" applyFont="1" applyFill="1" applyBorder="1" applyAlignment="1" applyProtection="1">
      <alignment horizontal="center" vertical="center" wrapText="1"/>
    </xf>
    <xf numFmtId="164" fontId="0" fillId="0" borderId="6" xfId="2" applyNumberFormat="1" applyFont="1" applyFill="1" applyBorder="1" applyAlignment="1" applyProtection="1">
      <alignment horizontal="center" vertical="center" wrapText="1"/>
    </xf>
    <xf numFmtId="0" fontId="2" fillId="0" borderId="4" xfId="1" applyFont="1" applyBorder="1" applyAlignment="1" applyProtection="1">
      <alignment horizontal="center" vertical="center" wrapText="1"/>
    </xf>
    <xf numFmtId="0" fontId="2" fillId="0" borderId="6" xfId="1" applyFont="1" applyBorder="1" applyAlignment="1" applyProtection="1">
      <alignment horizontal="center" vertical="center" wrapText="1"/>
    </xf>
    <xf numFmtId="0" fontId="2" fillId="3" borderId="4" xfId="1" applyFont="1" applyFill="1" applyBorder="1" applyAlignment="1" applyProtection="1">
      <alignment horizontal="center" vertical="center" wrapText="1"/>
    </xf>
    <xf numFmtId="0" fontId="2" fillId="3" borderId="5" xfId="1" applyFont="1" applyFill="1" applyBorder="1" applyAlignment="1" applyProtection="1">
      <alignment horizontal="center" vertical="center" wrapText="1"/>
    </xf>
    <xf numFmtId="0" fontId="2" fillId="3" borderId="6" xfId="1" applyFont="1" applyFill="1" applyBorder="1" applyAlignment="1" applyProtection="1">
      <alignment horizontal="center" vertical="center" wrapText="1"/>
    </xf>
    <xf numFmtId="0" fontId="0" fillId="0" borderId="4" xfId="0" applyFont="1" applyFill="1" applyBorder="1" applyAlignment="1" applyProtection="1">
      <alignment horizontal="center" vertical="center" wrapText="1"/>
    </xf>
    <xf numFmtId="0" fontId="0" fillId="0" borderId="6" xfId="0" applyFont="1" applyFill="1" applyBorder="1" applyAlignment="1" applyProtection="1">
      <alignment horizontal="center" vertical="center" wrapText="1"/>
    </xf>
    <xf numFmtId="0" fontId="4" fillId="3" borderId="1" xfId="1" applyFont="1" applyFill="1" applyBorder="1" applyAlignment="1" applyProtection="1">
      <alignment horizontal="center" vertical="center" wrapText="1"/>
    </xf>
    <xf numFmtId="0" fontId="3" fillId="0" borderId="4" xfId="1" applyFont="1" applyBorder="1" applyAlignment="1" applyProtection="1">
      <alignment horizontal="center" vertical="center" wrapText="1"/>
    </xf>
    <xf numFmtId="0" fontId="3" fillId="0" borderId="6" xfId="1" applyFont="1" applyBorder="1" applyAlignment="1" applyProtection="1">
      <alignment horizontal="center" vertical="center" wrapText="1"/>
    </xf>
    <xf numFmtId="164" fontId="0" fillId="0" borderId="4" xfId="2" applyNumberFormat="1" applyFont="1" applyBorder="1" applyAlignment="1" applyProtection="1">
      <alignment horizontal="center" vertical="center" wrapText="1"/>
    </xf>
    <xf numFmtId="164" fontId="0" fillId="0" borderId="5" xfId="2" applyNumberFormat="1" applyFont="1" applyBorder="1" applyAlignment="1" applyProtection="1">
      <alignment horizontal="center" vertical="center" wrapText="1"/>
    </xf>
    <xf numFmtId="164" fontId="0" fillId="0" borderId="6" xfId="2" applyNumberFormat="1" applyFont="1" applyBorder="1" applyAlignment="1" applyProtection="1">
      <alignment horizontal="center" vertical="center" wrapText="1"/>
    </xf>
    <xf numFmtId="0" fontId="0" fillId="0" borderId="4" xfId="2" applyNumberFormat="1" applyFont="1" applyBorder="1" applyAlignment="1" applyProtection="1">
      <alignment horizontal="center" vertical="center" wrapText="1"/>
    </xf>
    <xf numFmtId="0" fontId="0" fillId="0" borderId="6" xfId="2" applyNumberFormat="1" applyFont="1" applyBorder="1" applyAlignment="1" applyProtection="1">
      <alignment horizontal="center" vertical="center" wrapText="1"/>
    </xf>
    <xf numFmtId="0" fontId="19" fillId="2" borderId="19" xfId="1" applyFont="1" applyFill="1" applyBorder="1" applyAlignment="1" applyProtection="1">
      <alignment horizontal="center" vertical="center" wrapText="1"/>
    </xf>
    <xf numFmtId="0" fontId="19" fillId="2" borderId="20" xfId="1" applyFont="1" applyFill="1" applyBorder="1" applyAlignment="1" applyProtection="1">
      <alignment horizontal="center" vertical="center" wrapText="1"/>
    </xf>
    <xf numFmtId="0" fontId="18" fillId="2" borderId="21" xfId="1" applyFont="1" applyFill="1" applyBorder="1" applyAlignment="1" applyProtection="1">
      <alignment horizontal="center" vertical="center" wrapText="1"/>
    </xf>
    <xf numFmtId="0" fontId="18" fillId="2" borderId="22" xfId="1" applyFont="1" applyFill="1" applyBorder="1" applyAlignment="1" applyProtection="1">
      <alignment horizontal="center" vertical="center" wrapText="1"/>
    </xf>
    <xf numFmtId="0" fontId="16" fillId="7" borderId="4" xfId="0" applyFont="1" applyFill="1" applyBorder="1" applyAlignment="1" applyProtection="1">
      <alignment horizontal="center"/>
    </xf>
    <xf numFmtId="0" fontId="16" fillId="7" borderId="5" xfId="0" applyFont="1" applyFill="1" applyBorder="1" applyAlignment="1" applyProtection="1">
      <alignment horizontal="center"/>
    </xf>
    <xf numFmtId="0" fontId="9" fillId="5" borderId="1" xfId="1" applyFont="1" applyFill="1" applyBorder="1" applyAlignment="1" applyProtection="1">
      <alignment horizontal="center" vertical="center" wrapText="1"/>
    </xf>
    <xf numFmtId="1" fontId="3" fillId="0" borderId="1" xfId="1" applyNumberFormat="1" applyFont="1" applyBorder="1" applyAlignment="1" applyProtection="1">
      <alignment horizontal="center" vertical="center" wrapText="1"/>
    </xf>
    <xf numFmtId="0" fontId="3" fillId="0" borderId="4" xfId="1" applyBorder="1" applyAlignment="1" applyProtection="1">
      <alignment horizontal="left" vertical="center" wrapText="1"/>
    </xf>
    <xf numFmtId="0" fontId="3" fillId="0" borderId="5" xfId="1" applyFont="1" applyBorder="1" applyAlignment="1" applyProtection="1">
      <alignment horizontal="left" vertical="center" wrapText="1"/>
    </xf>
    <xf numFmtId="0" fontId="3" fillId="0" borderId="6" xfId="1" applyFont="1" applyBorder="1" applyAlignment="1" applyProtection="1">
      <alignment horizontal="left" vertical="center" wrapText="1"/>
    </xf>
    <xf numFmtId="0" fontId="3" fillId="0" borderId="4" xfId="1" applyFont="1" applyBorder="1" applyAlignment="1" applyProtection="1">
      <alignment horizontal="left" vertical="center" wrapText="1"/>
    </xf>
    <xf numFmtId="0" fontId="2" fillId="0" borderId="4" xfId="1" applyNumberFormat="1" applyFont="1" applyBorder="1" applyAlignment="1" applyProtection="1">
      <alignment horizontal="center" vertical="center" wrapText="1"/>
    </xf>
    <xf numFmtId="0" fontId="2" fillId="0" borderId="6" xfId="1" applyNumberFormat="1" applyFont="1" applyBorder="1" applyAlignment="1" applyProtection="1">
      <alignment horizontal="center" vertical="center" wrapText="1"/>
    </xf>
    <xf numFmtId="0" fontId="0" fillId="0" borderId="4" xfId="1" applyFont="1" applyBorder="1" applyAlignment="1" applyProtection="1">
      <alignment horizontal="left" vertical="center" wrapText="1"/>
    </xf>
    <xf numFmtId="0" fontId="3" fillId="0" borderId="8" xfId="1" applyFont="1" applyBorder="1" applyAlignment="1" applyProtection="1">
      <alignment horizontal="center" vertical="center" wrapText="1"/>
    </xf>
    <xf numFmtId="0" fontId="3" fillId="0" borderId="9" xfId="1" applyFont="1" applyBorder="1" applyAlignment="1" applyProtection="1">
      <alignment horizontal="center" vertical="center" wrapText="1"/>
    </xf>
    <xf numFmtId="0" fontId="3" fillId="0" borderId="10" xfId="1" applyFont="1" applyBorder="1" applyAlignment="1" applyProtection="1">
      <alignment horizontal="center" vertical="center" wrapText="1"/>
    </xf>
    <xf numFmtId="0" fontId="3" fillId="0" borderId="2" xfId="1" applyFont="1" applyBorder="1" applyAlignment="1" applyProtection="1">
      <alignment horizontal="center" vertical="center" wrapText="1"/>
    </xf>
    <xf numFmtId="0" fontId="3" fillId="0" borderId="0" xfId="1" applyFont="1" applyBorder="1" applyAlignment="1" applyProtection="1">
      <alignment horizontal="center" vertical="center" wrapText="1"/>
    </xf>
    <xf numFmtId="0" fontId="3" fillId="0" borderId="3" xfId="1" applyFont="1" applyBorder="1" applyAlignment="1" applyProtection="1">
      <alignment horizontal="center" vertical="center" wrapText="1"/>
    </xf>
    <xf numFmtId="0" fontId="3" fillId="0" borderId="7" xfId="1" applyFont="1" applyBorder="1" applyAlignment="1" applyProtection="1">
      <alignment horizontal="center" vertical="center" wrapText="1"/>
    </xf>
    <xf numFmtId="0" fontId="3" fillId="0" borderId="11" xfId="1" applyFont="1" applyBorder="1" applyAlignment="1" applyProtection="1">
      <alignment horizontal="center" vertical="center" wrapText="1"/>
    </xf>
    <xf numFmtId="0" fontId="3" fillId="0" borderId="12" xfId="1" applyFont="1" applyBorder="1" applyAlignment="1" applyProtection="1">
      <alignment horizontal="center" vertical="center" wrapText="1"/>
    </xf>
    <xf numFmtId="164" fontId="0" fillId="0" borderId="1" xfId="2" applyNumberFormat="1" applyFont="1" applyBorder="1" applyAlignment="1" applyProtection="1">
      <alignment horizontal="center" vertical="center" wrapText="1"/>
    </xf>
    <xf numFmtId="164" fontId="0" fillId="0" borderId="1" xfId="2" quotePrefix="1" applyNumberFormat="1" applyFont="1" applyFill="1" applyBorder="1" applyAlignment="1" applyProtection="1">
      <alignment horizontal="center" vertical="center" wrapText="1"/>
    </xf>
    <xf numFmtId="166" fontId="11" fillId="0" borderId="1" xfId="1" applyNumberFormat="1" applyFont="1" applyBorder="1" applyAlignment="1" applyProtection="1">
      <alignment horizontal="center" vertical="center" wrapText="1"/>
    </xf>
    <xf numFmtId="164" fontId="10" fillId="10" borderId="1" xfId="2" applyNumberFormat="1" applyFont="1" applyFill="1" applyBorder="1" applyAlignment="1" applyProtection="1">
      <alignment horizontal="center" vertical="center" wrapText="1"/>
    </xf>
    <xf numFmtId="0" fontId="2" fillId="0" borderId="4" xfId="0" applyFont="1" applyFill="1" applyBorder="1" applyAlignment="1" applyProtection="1">
      <alignment horizontal="center" vertical="center" wrapText="1"/>
    </xf>
    <xf numFmtId="0" fontId="2" fillId="0" borderId="5" xfId="0" applyFont="1" applyFill="1" applyBorder="1" applyAlignment="1" applyProtection="1">
      <alignment horizontal="center" vertical="center" wrapText="1"/>
    </xf>
    <xf numFmtId="0" fontId="2" fillId="0" borderId="6" xfId="0" applyFont="1" applyFill="1" applyBorder="1" applyAlignment="1" applyProtection="1">
      <alignment horizontal="center" vertical="center" wrapText="1"/>
    </xf>
    <xf numFmtId="0" fontId="0" fillId="0" borderId="4" xfId="0" applyFill="1" applyBorder="1" applyAlignment="1" applyProtection="1">
      <alignment horizontal="left" vertical="center" wrapText="1"/>
    </xf>
    <xf numFmtId="0" fontId="0" fillId="0" borderId="5" xfId="0" applyFont="1" applyFill="1" applyBorder="1" applyAlignment="1" applyProtection="1">
      <alignment horizontal="left" vertical="center" wrapText="1"/>
    </xf>
    <xf numFmtId="0" fontId="0" fillId="0" borderId="6" xfId="0" applyFont="1" applyFill="1" applyBorder="1" applyAlignment="1" applyProtection="1">
      <alignment horizontal="left" vertical="center" wrapText="1"/>
    </xf>
    <xf numFmtId="0" fontId="0" fillId="3" borderId="4" xfId="0" applyFont="1" applyFill="1" applyBorder="1" applyAlignment="1" applyProtection="1">
      <alignment horizontal="center" vertical="center" wrapText="1"/>
    </xf>
    <xf numFmtId="0" fontId="0" fillId="3" borderId="6" xfId="0" applyFont="1" applyFill="1" applyBorder="1" applyAlignment="1" applyProtection="1">
      <alignment horizontal="center" vertical="center" wrapText="1"/>
    </xf>
    <xf numFmtId="0" fontId="0" fillId="16" borderId="4" xfId="0" applyFont="1" applyFill="1" applyBorder="1" applyAlignment="1" applyProtection="1">
      <alignment horizontal="center" vertical="center" wrapText="1"/>
    </xf>
    <xf numFmtId="0" fontId="0" fillId="16" borderId="5" xfId="0" applyFont="1" applyFill="1" applyBorder="1" applyAlignment="1" applyProtection="1">
      <alignment horizontal="center" vertical="center" wrapText="1"/>
    </xf>
    <xf numFmtId="0" fontId="0" fillId="16" borderId="6" xfId="0" applyFont="1" applyFill="1" applyBorder="1" applyAlignment="1" applyProtection="1">
      <alignment horizontal="center" vertical="center" wrapText="1"/>
    </xf>
    <xf numFmtId="0" fontId="2" fillId="3" borderId="8" xfId="1" applyFont="1" applyFill="1" applyBorder="1" applyAlignment="1" applyProtection="1">
      <alignment horizontal="center" vertical="center" wrapText="1"/>
    </xf>
    <xf numFmtId="0" fontId="2" fillId="3" borderId="9" xfId="1" applyFont="1" applyFill="1" applyBorder="1" applyAlignment="1" applyProtection="1">
      <alignment horizontal="center" vertical="center" wrapText="1"/>
    </xf>
    <xf numFmtId="0" fontId="2" fillId="3" borderId="10" xfId="1" applyFont="1" applyFill="1" applyBorder="1" applyAlignment="1" applyProtection="1">
      <alignment horizontal="center" vertical="center" wrapText="1"/>
    </xf>
    <xf numFmtId="0" fontId="2" fillId="3" borderId="7" xfId="1" applyFont="1" applyFill="1" applyBorder="1" applyAlignment="1" applyProtection="1">
      <alignment horizontal="center" vertical="center" wrapText="1"/>
    </xf>
    <xf numFmtId="0" fontId="2" fillId="3" borderId="11" xfId="1" applyFont="1" applyFill="1" applyBorder="1" applyAlignment="1" applyProtection="1">
      <alignment horizontal="center" vertical="center" wrapText="1"/>
    </xf>
    <xf numFmtId="0" fontId="2" fillId="3" borderId="12" xfId="1" applyFont="1" applyFill="1" applyBorder="1" applyAlignment="1" applyProtection="1">
      <alignment horizontal="center" vertical="center" wrapText="1"/>
    </xf>
    <xf numFmtId="49" fontId="5" fillId="7" borderId="1" xfId="0" applyNumberFormat="1" applyFont="1" applyFill="1" applyBorder="1" applyAlignment="1" applyProtection="1">
      <alignment horizontal="left" vertical="center" wrapText="1"/>
    </xf>
    <xf numFmtId="165" fontId="1" fillId="7" borderId="1" xfId="0" applyNumberFormat="1" applyFont="1" applyFill="1" applyBorder="1" applyAlignment="1" applyProtection="1">
      <alignment horizontal="center" vertical="center" wrapText="1"/>
    </xf>
    <xf numFmtId="165" fontId="1" fillId="7" borderId="4" xfId="0" applyNumberFormat="1" applyFont="1" applyFill="1" applyBorder="1" applyAlignment="1" applyProtection="1">
      <alignment horizontal="center" vertical="center" wrapText="1"/>
    </xf>
    <xf numFmtId="165" fontId="1" fillId="7" borderId="6" xfId="0" applyNumberFormat="1" applyFont="1" applyFill="1" applyBorder="1" applyAlignment="1" applyProtection="1">
      <alignment horizontal="center" vertical="center" wrapText="1"/>
    </xf>
    <xf numFmtId="0" fontId="6" fillId="3" borderId="1" xfId="1" applyFont="1" applyFill="1" applyBorder="1" applyAlignment="1" applyProtection="1">
      <alignment horizontal="center" vertical="center" wrapText="1"/>
    </xf>
    <xf numFmtId="49" fontId="5" fillId="16" borderId="1" xfId="0" applyNumberFormat="1" applyFont="1" applyFill="1" applyBorder="1" applyAlignment="1" applyProtection="1">
      <alignment horizontal="left" vertical="center" wrapText="1"/>
    </xf>
    <xf numFmtId="49" fontId="27" fillId="16" borderId="1" xfId="0" applyNumberFormat="1" applyFont="1" applyFill="1" applyBorder="1" applyAlignment="1" applyProtection="1">
      <alignment horizontal="left" vertical="center" wrapText="1"/>
    </xf>
    <xf numFmtId="49" fontId="5" fillId="7" borderId="4" xfId="0" applyNumberFormat="1" applyFont="1" applyFill="1" applyBorder="1" applyAlignment="1" applyProtection="1">
      <alignment horizontal="left" vertical="center" wrapText="1"/>
    </xf>
    <xf numFmtId="49" fontId="5" fillId="7" borderId="5" xfId="0" applyNumberFormat="1" applyFont="1" applyFill="1" applyBorder="1" applyAlignment="1" applyProtection="1">
      <alignment horizontal="left" vertical="center" wrapText="1"/>
    </xf>
    <xf numFmtId="49" fontId="5" fillId="7" borderId="6" xfId="0" applyNumberFormat="1" applyFont="1" applyFill="1" applyBorder="1" applyAlignment="1" applyProtection="1">
      <alignment horizontal="left" vertical="center" wrapText="1"/>
    </xf>
    <xf numFmtId="0" fontId="3" fillId="18" borderId="1" xfId="1" applyFill="1" applyBorder="1" applyAlignment="1" applyProtection="1">
      <alignment horizontal="center" vertical="center" wrapText="1"/>
    </xf>
    <xf numFmtId="1" fontId="3" fillId="0" borderId="4" xfId="1" applyNumberFormat="1" applyFont="1" applyBorder="1" applyAlignment="1" applyProtection="1">
      <alignment horizontal="center" vertical="center" wrapText="1"/>
    </xf>
    <xf numFmtId="1" fontId="3" fillId="0" borderId="6" xfId="1" applyNumberFormat="1" applyFont="1" applyBorder="1" applyAlignment="1" applyProtection="1">
      <alignment horizontal="center" vertical="center" wrapText="1"/>
    </xf>
    <xf numFmtId="165" fontId="1" fillId="9" borderId="4" xfId="0" applyNumberFormat="1" applyFont="1" applyFill="1" applyBorder="1" applyAlignment="1" applyProtection="1">
      <alignment horizontal="center" vertical="center" wrapText="1"/>
    </xf>
    <xf numFmtId="165" fontId="1" fillId="9" borderId="6" xfId="0" applyNumberFormat="1" applyFont="1" applyFill="1" applyBorder="1" applyAlignment="1" applyProtection="1">
      <alignment horizontal="center" vertical="center" wrapText="1"/>
    </xf>
    <xf numFmtId="0" fontId="3" fillId="0" borderId="5" xfId="1" applyFont="1" applyBorder="1" applyAlignment="1" applyProtection="1">
      <alignment horizontal="center" vertical="center" wrapText="1"/>
    </xf>
    <xf numFmtId="164" fontId="0" fillId="0" borderId="4" xfId="3" applyNumberFormat="1" applyFont="1" applyFill="1" applyBorder="1" applyAlignment="1" applyProtection="1">
      <alignment horizontal="center" vertical="center" wrapText="1"/>
    </xf>
    <xf numFmtId="164" fontId="0" fillId="0" borderId="5" xfId="3" applyNumberFormat="1" applyFont="1" applyFill="1" applyBorder="1" applyAlignment="1" applyProtection="1">
      <alignment horizontal="center" vertical="center" wrapText="1"/>
    </xf>
    <xf numFmtId="164" fontId="0" fillId="0" borderId="6" xfId="3" applyNumberFormat="1" applyFont="1" applyFill="1" applyBorder="1" applyAlignment="1" applyProtection="1">
      <alignment horizontal="center" vertical="center" wrapText="1"/>
    </xf>
    <xf numFmtId="0" fontId="2" fillId="0" borderId="4" xfId="1" applyFont="1" applyFill="1" applyBorder="1" applyAlignment="1" applyProtection="1">
      <alignment horizontal="center" vertical="center" wrapText="1"/>
    </xf>
    <xf numFmtId="0" fontId="2" fillId="0" borderId="6" xfId="1" applyFont="1" applyFill="1" applyBorder="1" applyAlignment="1" applyProtection="1">
      <alignment horizontal="center" vertical="center" wrapText="1"/>
    </xf>
    <xf numFmtId="166" fontId="3" fillId="16" borderId="1" xfId="1" applyNumberFormat="1" applyFont="1" applyFill="1" applyBorder="1" applyAlignment="1" applyProtection="1">
      <alignment horizontal="center" vertical="center" wrapText="1"/>
    </xf>
    <xf numFmtId="166" fontId="3" fillId="16" borderId="1" xfId="1" quotePrefix="1" applyNumberFormat="1" applyFill="1" applyBorder="1" applyAlignment="1" applyProtection="1">
      <alignment horizontal="center" vertical="center" wrapText="1"/>
    </xf>
    <xf numFmtId="0" fontId="9" fillId="5" borderId="8" xfId="1" applyFont="1" applyFill="1" applyBorder="1" applyAlignment="1" applyProtection="1">
      <alignment horizontal="center" vertical="center" wrapText="1"/>
    </xf>
    <xf numFmtId="0" fontId="9" fillId="5" borderId="9" xfId="1" applyFont="1" applyFill="1" applyBorder="1" applyAlignment="1" applyProtection="1">
      <alignment horizontal="center" vertical="center" wrapText="1"/>
    </xf>
    <xf numFmtId="0" fontId="9" fillId="5" borderId="10" xfId="1" applyFont="1" applyFill="1" applyBorder="1" applyAlignment="1" applyProtection="1">
      <alignment horizontal="center" vertical="center" wrapText="1"/>
    </xf>
    <xf numFmtId="0" fontId="8" fillId="3" borderId="1" xfId="1" applyFont="1" applyFill="1" applyBorder="1" applyAlignment="1" applyProtection="1">
      <alignment horizontal="center" vertical="center" wrapText="1"/>
    </xf>
    <xf numFmtId="49" fontId="25" fillId="16" borderId="1" xfId="0" applyNumberFormat="1" applyFont="1" applyFill="1" applyBorder="1" applyAlignment="1" applyProtection="1">
      <alignment horizontal="left" vertical="center" wrapText="1"/>
    </xf>
    <xf numFmtId="1" fontId="2" fillId="0" borderId="4" xfId="1" applyNumberFormat="1" applyFont="1" applyBorder="1" applyAlignment="1" applyProtection="1">
      <alignment horizontal="center" vertical="center" wrapText="1"/>
    </xf>
    <xf numFmtId="1" fontId="2" fillId="0" borderId="6" xfId="1" applyNumberFormat="1" applyFont="1" applyBorder="1" applyAlignment="1" applyProtection="1">
      <alignment horizontal="center" vertical="center" wrapText="1"/>
    </xf>
    <xf numFmtId="164" fontId="0" fillId="0" borderId="4" xfId="2" quotePrefix="1" applyNumberFormat="1" applyFont="1" applyBorder="1" applyAlignment="1" applyProtection="1">
      <alignment horizontal="center" vertical="center" wrapText="1"/>
    </xf>
    <xf numFmtId="164" fontId="0" fillId="0" borderId="1" xfId="2" applyNumberFormat="1" applyFont="1" applyFill="1" applyBorder="1" applyAlignment="1" applyProtection="1">
      <alignment horizontal="center" vertical="center" wrapText="1"/>
    </xf>
    <xf numFmtId="164" fontId="3" fillId="0" borderId="1" xfId="3" applyNumberFormat="1" applyFont="1" applyBorder="1" applyAlignment="1" applyProtection="1">
      <alignment horizontal="center" vertical="center" wrapText="1"/>
    </xf>
    <xf numFmtId="49" fontId="3" fillId="0" borderId="1" xfId="1" applyNumberFormat="1" applyFont="1" applyBorder="1" applyAlignment="1" applyProtection="1">
      <alignment horizontal="center" vertical="center" wrapText="1"/>
    </xf>
    <xf numFmtId="0" fontId="16" fillId="7" borderId="1" xfId="0" applyFont="1" applyFill="1" applyBorder="1" applyAlignment="1" applyProtection="1">
      <alignment horizontal="center"/>
    </xf>
    <xf numFmtId="0" fontId="4" fillId="2" borderId="4" xfId="0" applyFont="1" applyFill="1" applyBorder="1" applyAlignment="1" applyProtection="1">
      <alignment horizontal="center" vertical="center" wrapText="1"/>
    </xf>
    <xf numFmtId="0" fontId="4" fillId="2" borderId="5" xfId="0" applyFont="1" applyFill="1" applyBorder="1" applyAlignment="1" applyProtection="1">
      <alignment horizontal="center" vertical="center" wrapText="1"/>
    </xf>
    <xf numFmtId="0" fontId="4" fillId="2" borderId="6" xfId="0" applyFont="1" applyFill="1" applyBorder="1" applyAlignment="1" applyProtection="1">
      <alignment horizontal="center" vertical="center" wrapText="1"/>
    </xf>
    <xf numFmtId="0" fontId="2" fillId="7" borderId="4" xfId="0" applyFont="1" applyFill="1" applyBorder="1" applyAlignment="1" applyProtection="1">
      <alignment horizontal="center" vertical="center"/>
    </xf>
    <xf numFmtId="0" fontId="2" fillId="7" borderId="5" xfId="0" applyFont="1" applyFill="1" applyBorder="1" applyAlignment="1" applyProtection="1">
      <alignment horizontal="center" vertical="center"/>
    </xf>
    <xf numFmtId="0" fontId="2" fillId="7" borderId="6" xfId="0" applyFont="1" applyFill="1" applyBorder="1" applyAlignment="1" applyProtection="1">
      <alignment horizontal="center" vertical="center"/>
    </xf>
    <xf numFmtId="0" fontId="2" fillId="0" borderId="19" xfId="0" applyFont="1" applyBorder="1" applyAlignment="1" applyProtection="1">
      <alignment horizontal="center" vertical="center" wrapText="1"/>
    </xf>
    <xf numFmtId="0" fontId="2" fillId="0" borderId="20" xfId="0" applyFont="1" applyBorder="1" applyAlignment="1" applyProtection="1">
      <alignment horizontal="center" vertical="center" wrapText="1"/>
    </xf>
    <xf numFmtId="0" fontId="2" fillId="0" borderId="32" xfId="0" applyFont="1" applyBorder="1" applyAlignment="1" applyProtection="1">
      <alignment horizontal="center" vertical="center" wrapText="1"/>
    </xf>
    <xf numFmtId="0" fontId="4" fillId="7" borderId="17" xfId="0" applyFont="1" applyFill="1" applyBorder="1" applyAlignment="1" applyProtection="1">
      <alignment horizontal="center" vertical="center" wrapText="1"/>
    </xf>
    <xf numFmtId="0" fontId="4" fillId="7" borderId="18" xfId="0" applyFont="1" applyFill="1" applyBorder="1" applyAlignment="1" applyProtection="1">
      <alignment horizontal="center" vertical="center" wrapText="1"/>
    </xf>
    <xf numFmtId="0" fontId="4" fillId="7" borderId="16" xfId="0" applyFont="1" applyFill="1" applyBorder="1" applyAlignment="1" applyProtection="1">
      <alignment horizontal="center" vertical="center" wrapText="1"/>
    </xf>
    <xf numFmtId="0" fontId="2" fillId="7" borderId="4" xfId="0" applyFont="1" applyFill="1" applyBorder="1" applyAlignment="1" applyProtection="1">
      <alignment horizontal="center" vertical="center" wrapText="1"/>
    </xf>
    <xf numFmtId="0" fontId="2" fillId="7" borderId="5" xfId="0" applyFont="1" applyFill="1" applyBorder="1" applyAlignment="1" applyProtection="1">
      <alignment horizontal="center" vertical="center" wrapText="1"/>
    </xf>
    <xf numFmtId="0" fontId="2" fillId="7" borderId="6" xfId="0" applyFont="1" applyFill="1" applyBorder="1" applyAlignment="1" applyProtection="1">
      <alignment horizontal="center" vertical="center" wrapText="1"/>
    </xf>
    <xf numFmtId="0" fontId="2" fillId="0" borderId="4" xfId="0" applyFont="1" applyBorder="1" applyAlignment="1" applyProtection="1">
      <alignment horizontal="center" vertical="center" wrapText="1"/>
    </xf>
    <xf numFmtId="0" fontId="2" fillId="0" borderId="5" xfId="0" applyFont="1" applyBorder="1" applyAlignment="1" applyProtection="1">
      <alignment horizontal="center" vertical="center" wrapText="1"/>
    </xf>
    <xf numFmtId="0" fontId="4" fillId="0" borderId="44" xfId="0" applyFont="1" applyFill="1" applyBorder="1" applyAlignment="1" applyProtection="1">
      <alignment horizontal="center" vertical="center" wrapText="1"/>
    </xf>
    <xf numFmtId="0" fontId="4" fillId="0" borderId="9" xfId="0" applyFont="1" applyFill="1" applyBorder="1" applyAlignment="1" applyProtection="1">
      <alignment horizontal="center" vertical="center" wrapText="1"/>
    </xf>
    <xf numFmtId="0" fontId="4" fillId="0" borderId="41" xfId="0" applyFont="1" applyFill="1" applyBorder="1" applyAlignment="1" applyProtection="1">
      <alignment horizontal="center" vertical="center" wrapText="1"/>
    </xf>
    <xf numFmtId="0" fontId="4" fillId="0" borderId="38" xfId="0" applyFont="1" applyFill="1" applyBorder="1" applyAlignment="1" applyProtection="1">
      <alignment horizontal="center" vertical="center" wrapText="1"/>
    </xf>
    <xf numFmtId="0" fontId="4" fillId="0" borderId="0" xfId="0" applyFont="1" applyFill="1" applyBorder="1" applyAlignment="1" applyProtection="1">
      <alignment horizontal="center" vertical="center" wrapText="1"/>
    </xf>
    <xf numFmtId="0" fontId="4" fillId="0" borderId="36" xfId="0" applyFont="1" applyFill="1" applyBorder="1" applyAlignment="1" applyProtection="1">
      <alignment horizontal="center" vertical="center" wrapText="1"/>
    </xf>
    <xf numFmtId="0" fontId="4" fillId="0" borderId="45" xfId="0" applyFont="1" applyFill="1" applyBorder="1" applyAlignment="1" applyProtection="1">
      <alignment horizontal="center" vertical="center" wrapText="1"/>
    </xf>
    <xf numFmtId="0" fontId="4" fillId="0" borderId="11" xfId="0" applyFont="1" applyFill="1" applyBorder="1" applyAlignment="1" applyProtection="1">
      <alignment horizontal="center" vertical="center" wrapText="1"/>
    </xf>
    <xf numFmtId="0" fontId="4" fillId="0" borderId="46" xfId="0" applyFont="1" applyFill="1" applyBorder="1" applyAlignment="1" applyProtection="1">
      <alignment horizontal="center" vertical="center" wrapText="1"/>
    </xf>
    <xf numFmtId="0" fontId="4" fillId="15" borderId="4" xfId="0" applyFont="1" applyFill="1" applyBorder="1" applyAlignment="1" applyProtection="1">
      <alignment horizontal="center" vertical="center" wrapText="1"/>
    </xf>
    <xf numFmtId="0" fontId="4" fillId="15" borderId="5" xfId="0" applyFont="1" applyFill="1" applyBorder="1" applyAlignment="1" applyProtection="1">
      <alignment horizontal="center" vertical="center" wrapText="1"/>
    </xf>
    <xf numFmtId="0" fontId="4" fillId="15" borderId="6" xfId="0" applyFont="1" applyFill="1" applyBorder="1" applyAlignment="1" applyProtection="1">
      <alignment horizontal="center" vertical="center" wrapText="1"/>
    </xf>
    <xf numFmtId="0" fontId="2" fillId="15" borderId="1" xfId="0" applyFont="1" applyFill="1" applyBorder="1" applyAlignment="1" applyProtection="1">
      <alignment horizontal="left" vertical="center" wrapText="1"/>
    </xf>
    <xf numFmtId="0" fontId="2" fillId="16" borderId="1" xfId="0" applyFont="1" applyFill="1" applyBorder="1" applyAlignment="1" applyProtection="1">
      <alignment horizontal="center" vertical="center" wrapText="1"/>
    </xf>
    <xf numFmtId="164" fontId="22" fillId="10" borderId="47" xfId="3" applyNumberFormat="1" applyFont="1" applyFill="1" applyBorder="1" applyAlignment="1" applyProtection="1">
      <alignment horizontal="center" vertical="center"/>
    </xf>
    <xf numFmtId="164" fontId="22" fillId="10" borderId="49" xfId="3" applyNumberFormat="1" applyFont="1" applyFill="1" applyBorder="1" applyAlignment="1" applyProtection="1">
      <alignment horizontal="center" vertical="center"/>
    </xf>
    <xf numFmtId="0" fontId="2" fillId="0" borderId="44" xfId="0" applyFont="1" applyFill="1" applyBorder="1" applyAlignment="1" applyProtection="1">
      <alignment horizontal="center" vertical="center" wrapText="1"/>
    </xf>
    <xf numFmtId="0" fontId="2" fillId="0" borderId="9" xfId="0" applyFont="1" applyFill="1" applyBorder="1" applyAlignment="1" applyProtection="1">
      <alignment horizontal="center" vertical="center" wrapText="1"/>
    </xf>
    <xf numFmtId="0" fontId="2" fillId="0" borderId="41" xfId="0" applyFont="1" applyFill="1" applyBorder="1" applyAlignment="1" applyProtection="1">
      <alignment horizontal="center" vertical="center" wrapText="1"/>
    </xf>
    <xf numFmtId="0" fontId="2" fillId="0" borderId="38" xfId="0" applyFont="1" applyFill="1" applyBorder="1" applyAlignment="1" applyProtection="1">
      <alignment horizontal="center" vertical="center" wrapText="1"/>
    </xf>
    <xf numFmtId="0" fontId="2" fillId="0" borderId="0" xfId="0" applyFont="1" applyFill="1" applyBorder="1" applyAlignment="1" applyProtection="1">
      <alignment horizontal="center" vertical="center" wrapText="1"/>
    </xf>
    <xf numFmtId="0" fontId="2" fillId="0" borderId="36" xfId="0" applyFont="1" applyFill="1" applyBorder="1" applyAlignment="1" applyProtection="1">
      <alignment horizontal="center" vertical="center" wrapText="1"/>
    </xf>
    <xf numFmtId="0" fontId="2" fillId="0" borderId="45" xfId="0" applyFont="1" applyFill="1" applyBorder="1" applyAlignment="1" applyProtection="1">
      <alignment horizontal="center" vertical="center" wrapText="1"/>
    </xf>
    <xf numFmtId="0" fontId="2" fillId="0" borderId="11" xfId="0" applyFont="1" applyFill="1" applyBorder="1" applyAlignment="1" applyProtection="1">
      <alignment horizontal="center" vertical="center" wrapText="1"/>
    </xf>
    <xf numFmtId="0" fontId="2" fillId="0" borderId="46" xfId="0" applyFont="1" applyFill="1" applyBorder="1" applyAlignment="1" applyProtection="1">
      <alignment horizontal="center" vertical="center" wrapText="1"/>
    </xf>
    <xf numFmtId="0" fontId="0" fillId="0" borderId="9" xfId="0" applyBorder="1" applyAlignment="1" applyProtection="1">
      <alignment horizontal="center" vertical="center"/>
    </xf>
    <xf numFmtId="0" fontId="0" fillId="0" borderId="11" xfId="0" applyBorder="1" applyAlignment="1" applyProtection="1">
      <alignment horizontal="center" vertical="center"/>
    </xf>
    <xf numFmtId="0" fontId="4" fillId="15" borderId="1" xfId="0" applyFont="1" applyFill="1" applyBorder="1" applyAlignment="1" applyProtection="1">
      <alignment horizontal="left" vertical="center" wrapText="1"/>
    </xf>
    <xf numFmtId="0" fontId="16" fillId="0" borderId="31" xfId="0" applyFont="1" applyBorder="1" applyAlignment="1" applyProtection="1">
      <alignment horizontal="center" vertical="center" wrapText="1"/>
    </xf>
    <xf numFmtId="0" fontId="16" fillId="0" borderId="38" xfId="0" applyFont="1" applyBorder="1" applyAlignment="1" applyProtection="1">
      <alignment horizontal="center" vertical="center" wrapText="1"/>
    </xf>
    <xf numFmtId="0" fontId="16" fillId="0" borderId="40" xfId="0" applyFont="1" applyBorder="1" applyAlignment="1" applyProtection="1">
      <alignment horizontal="center" vertical="center" wrapText="1"/>
    </xf>
    <xf numFmtId="0" fontId="4" fillId="0" borderId="1" xfId="0" applyFont="1" applyFill="1" applyBorder="1" applyAlignment="1" applyProtection="1">
      <alignment horizontal="center" vertical="center" wrapText="1"/>
    </xf>
    <xf numFmtId="0" fontId="4" fillId="0" borderId="27" xfId="0" applyFont="1" applyFill="1" applyBorder="1" applyAlignment="1" applyProtection="1">
      <alignment horizontal="center" vertical="center" wrapText="1"/>
    </xf>
    <xf numFmtId="0" fontId="4" fillId="15" borderId="1" xfId="0" applyFont="1" applyFill="1" applyBorder="1" applyAlignment="1" applyProtection="1">
      <alignment horizontal="left" vertical="center"/>
    </xf>
    <xf numFmtId="0" fontId="4" fillId="15" borderId="29" xfId="0" applyFont="1" applyFill="1" applyBorder="1" applyAlignment="1" applyProtection="1">
      <alignment horizontal="left" vertical="center"/>
    </xf>
    <xf numFmtId="0" fontId="4" fillId="16" borderId="1" xfId="0" applyFont="1" applyFill="1" applyBorder="1" applyAlignment="1" applyProtection="1">
      <alignment horizontal="center" vertical="center"/>
    </xf>
    <xf numFmtId="0" fontId="4" fillId="16" borderId="29" xfId="0" applyFont="1" applyFill="1" applyBorder="1" applyAlignment="1" applyProtection="1">
      <alignment horizontal="center" vertical="center"/>
    </xf>
    <xf numFmtId="164" fontId="22" fillId="10" borderId="47" xfId="3" quotePrefix="1" applyNumberFormat="1" applyFont="1" applyFill="1" applyBorder="1" applyAlignment="1" applyProtection="1">
      <alignment horizontal="center" vertical="center"/>
    </xf>
    <xf numFmtId="164" fontId="22" fillId="10" borderId="48" xfId="3" quotePrefix="1" applyNumberFormat="1" applyFont="1" applyFill="1" applyBorder="1" applyAlignment="1" applyProtection="1">
      <alignment horizontal="center" vertical="center"/>
    </xf>
    <xf numFmtId="164" fontId="22" fillId="10" borderId="49" xfId="3" quotePrefix="1" applyNumberFormat="1" applyFont="1" applyFill="1" applyBorder="1" applyAlignment="1" applyProtection="1">
      <alignment horizontal="center" vertical="center"/>
    </xf>
    <xf numFmtId="0" fontId="4" fillId="15" borderId="24" xfId="0" applyFont="1" applyFill="1" applyBorder="1" applyAlignment="1" applyProtection="1">
      <alignment horizontal="center" vertical="center" wrapText="1"/>
    </xf>
    <xf numFmtId="0" fontId="16" fillId="0" borderId="23" xfId="0" applyFont="1" applyBorder="1" applyAlignment="1">
      <alignment horizontal="center"/>
    </xf>
    <xf numFmtId="0" fontId="16" fillId="0" borderId="24" xfId="0" applyFont="1" applyBorder="1" applyAlignment="1">
      <alignment horizontal="center"/>
    </xf>
    <xf numFmtId="0" fontId="16" fillId="0" borderId="42" xfId="0" applyFont="1" applyBorder="1" applyAlignment="1">
      <alignment horizontal="center"/>
    </xf>
    <xf numFmtId="0" fontId="16" fillId="0" borderId="25" xfId="0" applyFont="1" applyBorder="1" applyAlignment="1">
      <alignment horizontal="center"/>
    </xf>
    <xf numFmtId="0" fontId="16" fillId="0" borderId="28" xfId="0" applyFont="1" applyBorder="1" applyAlignment="1">
      <alignment horizontal="center"/>
    </xf>
    <xf numFmtId="0" fontId="16" fillId="0" borderId="29" xfId="0" applyFont="1" applyBorder="1" applyAlignment="1">
      <alignment horizontal="center"/>
    </xf>
    <xf numFmtId="0" fontId="16" fillId="0" borderId="43" xfId="0" applyFont="1" applyBorder="1" applyAlignment="1">
      <alignment horizontal="center"/>
    </xf>
    <xf numFmtId="0" fontId="16" fillId="0" borderId="30" xfId="0" applyFont="1" applyBorder="1" applyAlignment="1">
      <alignment horizontal="center"/>
    </xf>
    <xf numFmtId="0" fontId="0" fillId="0" borderId="44" xfId="0" applyBorder="1" applyAlignment="1" applyProtection="1">
      <alignment horizontal="center" vertical="center"/>
    </xf>
    <xf numFmtId="0" fontId="0" fillId="0" borderId="41" xfId="0" applyBorder="1" applyAlignment="1" applyProtection="1">
      <alignment horizontal="center" vertical="center"/>
    </xf>
    <xf numFmtId="0" fontId="0" fillId="0" borderId="45" xfId="0" applyBorder="1" applyAlignment="1" applyProtection="1">
      <alignment horizontal="center" vertical="center"/>
    </xf>
    <xf numFmtId="0" fontId="0" fillId="0" borderId="46" xfId="0" applyBorder="1" applyAlignment="1" applyProtection="1">
      <alignment horizontal="center" vertical="center"/>
    </xf>
    <xf numFmtId="0" fontId="0" fillId="0" borderId="4" xfId="0" applyBorder="1" applyAlignment="1" applyProtection="1">
      <alignment horizontal="center" vertical="center"/>
    </xf>
    <xf numFmtId="0" fontId="0" fillId="0" borderId="5" xfId="0" applyBorder="1" applyAlignment="1" applyProtection="1">
      <alignment horizontal="center" vertical="center"/>
    </xf>
    <xf numFmtId="0" fontId="0" fillId="0" borderId="34" xfId="0" applyBorder="1" applyAlignment="1" applyProtection="1">
      <alignment horizontal="center" vertical="center"/>
    </xf>
    <xf numFmtId="0" fontId="0" fillId="0" borderId="39" xfId="0" applyBorder="1" applyAlignment="1" applyProtection="1">
      <alignment horizontal="center" vertical="center"/>
    </xf>
    <xf numFmtId="168" fontId="4" fillId="4" borderId="28" xfId="0" applyNumberFormat="1" applyFont="1" applyFill="1" applyBorder="1" applyAlignment="1" applyProtection="1">
      <alignment horizontal="center" vertical="center" wrapText="1"/>
    </xf>
    <xf numFmtId="168" fontId="4" fillId="4" borderId="29" xfId="0" applyNumberFormat="1" applyFont="1" applyFill="1" applyBorder="1" applyAlignment="1" applyProtection="1">
      <alignment horizontal="center" vertical="center" wrapText="1"/>
    </xf>
    <xf numFmtId="168" fontId="4" fillId="4" borderId="30" xfId="0" applyNumberFormat="1" applyFont="1" applyFill="1" applyBorder="1" applyAlignment="1" applyProtection="1">
      <alignment horizontal="center" vertical="center" wrapText="1"/>
    </xf>
    <xf numFmtId="0" fontId="0" fillId="0" borderId="14" xfId="0" applyBorder="1" applyAlignment="1" applyProtection="1">
      <alignment horizontal="center" vertical="center"/>
    </xf>
    <xf numFmtId="164" fontId="22" fillId="10" borderId="50" xfId="3" quotePrefix="1" applyNumberFormat="1" applyFont="1" applyFill="1" applyBorder="1" applyAlignment="1" applyProtection="1">
      <alignment horizontal="center" vertical="center"/>
    </xf>
    <xf numFmtId="164" fontId="22" fillId="10" borderId="27" xfId="3" applyNumberFormat="1" applyFont="1" applyFill="1" applyBorder="1" applyAlignment="1" applyProtection="1">
      <alignment horizontal="center" vertical="center"/>
    </xf>
    <xf numFmtId="0" fontId="19" fillId="2" borderId="23" xfId="0" applyFont="1" applyFill="1" applyBorder="1" applyAlignment="1" applyProtection="1">
      <alignment horizontal="center" vertical="center" wrapText="1"/>
    </xf>
    <xf numFmtId="0" fontId="19" fillId="2" borderId="24" xfId="0" applyFont="1" applyFill="1" applyBorder="1" applyAlignment="1" applyProtection="1">
      <alignment horizontal="center" vertical="center" wrapText="1"/>
    </xf>
    <xf numFmtId="0" fontId="19" fillId="2" borderId="42" xfId="0" applyFont="1" applyFill="1" applyBorder="1" applyAlignment="1" applyProtection="1">
      <alignment horizontal="center" vertical="center" wrapText="1"/>
    </xf>
    <xf numFmtId="0" fontId="19" fillId="2" borderId="25" xfId="0" applyFont="1" applyFill="1" applyBorder="1" applyAlignment="1" applyProtection="1">
      <alignment horizontal="center" vertical="center" wrapText="1"/>
    </xf>
    <xf numFmtId="0" fontId="23" fillId="2" borderId="28" xfId="0" applyFont="1" applyFill="1" applyBorder="1" applyAlignment="1" applyProtection="1">
      <alignment horizontal="center" vertical="center" wrapText="1"/>
    </xf>
    <xf numFmtId="0" fontId="23" fillId="2" borderId="29" xfId="0" applyFont="1" applyFill="1" applyBorder="1" applyAlignment="1" applyProtection="1">
      <alignment horizontal="center" vertical="center" wrapText="1"/>
    </xf>
    <xf numFmtId="0" fontId="23" fillId="2" borderId="43" xfId="0" applyFont="1" applyFill="1" applyBorder="1" applyAlignment="1" applyProtection="1">
      <alignment horizontal="center" vertical="center" wrapText="1"/>
    </xf>
    <xf numFmtId="0" fontId="23" fillId="2" borderId="30" xfId="0" applyFont="1" applyFill="1" applyBorder="1" applyAlignment="1" applyProtection="1">
      <alignment horizontal="center" vertical="center" wrapText="1"/>
    </xf>
    <xf numFmtId="0" fontId="4" fillId="4" borderId="19" xfId="0" applyFont="1" applyFill="1" applyBorder="1" applyAlignment="1" applyProtection="1">
      <alignment horizontal="left" vertical="center" wrapText="1"/>
    </xf>
    <xf numFmtId="0" fontId="4" fillId="4" borderId="20" xfId="0" applyFont="1" applyFill="1" applyBorder="1" applyAlignment="1" applyProtection="1">
      <alignment horizontal="left" vertical="center" wrapText="1"/>
    </xf>
    <xf numFmtId="0" fontId="4" fillId="4" borderId="32" xfId="0" applyFont="1" applyFill="1" applyBorder="1" applyAlignment="1" applyProtection="1">
      <alignment horizontal="left" vertical="center" wrapText="1"/>
    </xf>
    <xf numFmtId="0" fontId="30" fillId="15" borderId="13" xfId="0" applyFont="1" applyFill="1" applyBorder="1" applyAlignment="1" applyProtection="1">
      <alignment horizontal="center" vertical="center"/>
    </xf>
    <xf numFmtId="0" fontId="30" fillId="15" borderId="14" xfId="0" applyFont="1" applyFill="1" applyBorder="1" applyAlignment="1" applyProtection="1">
      <alignment horizontal="center" vertical="center"/>
    </xf>
    <xf numFmtId="0" fontId="30" fillId="15" borderId="15" xfId="0" applyFont="1" applyFill="1" applyBorder="1" applyAlignment="1" applyProtection="1">
      <alignment horizontal="center" vertical="center"/>
    </xf>
    <xf numFmtId="0" fontId="4" fillId="4" borderId="23" xfId="0" applyFont="1" applyFill="1" applyBorder="1" applyAlignment="1" applyProtection="1">
      <alignment horizontal="center" vertical="center" wrapText="1"/>
    </xf>
    <xf numFmtId="0" fontId="4" fillId="4" borderId="24" xfId="0" applyFont="1" applyFill="1" applyBorder="1" applyAlignment="1" applyProtection="1">
      <alignment horizontal="center" vertical="center" wrapText="1"/>
    </xf>
    <xf numFmtId="0" fontId="4" fillId="4" borderId="25" xfId="0" applyFont="1" applyFill="1" applyBorder="1" applyAlignment="1" applyProtection="1">
      <alignment horizontal="center" vertical="center" wrapText="1"/>
    </xf>
    <xf numFmtId="0" fontId="4" fillId="4" borderId="33" xfId="0" applyFont="1" applyFill="1" applyBorder="1" applyAlignment="1" applyProtection="1">
      <alignment horizontal="left" vertical="center" wrapText="1"/>
    </xf>
    <xf numFmtId="0" fontId="4" fillId="4" borderId="5" xfId="0" applyFont="1" applyFill="1" applyBorder="1" applyAlignment="1" applyProtection="1">
      <alignment horizontal="left" vertical="center" wrapText="1"/>
    </xf>
    <xf numFmtId="0" fontId="4" fillId="4" borderId="34" xfId="0" applyFont="1" applyFill="1" applyBorder="1" applyAlignment="1" applyProtection="1">
      <alignment horizontal="left" vertical="center" wrapText="1"/>
    </xf>
    <xf numFmtId="0" fontId="4" fillId="4" borderId="21" xfId="0" applyFont="1" applyFill="1" applyBorder="1" applyAlignment="1" applyProtection="1">
      <alignment horizontal="left" vertical="center"/>
    </xf>
    <xf numFmtId="0" fontId="4" fillId="4" borderId="22" xfId="0" applyFont="1" applyFill="1" applyBorder="1" applyAlignment="1" applyProtection="1">
      <alignment horizontal="left" vertical="center"/>
    </xf>
    <xf numFmtId="0" fontId="4" fillId="4" borderId="35" xfId="0" applyFont="1" applyFill="1" applyBorder="1" applyAlignment="1" applyProtection="1">
      <alignment horizontal="left" vertical="center"/>
    </xf>
    <xf numFmtId="168" fontId="4" fillId="4" borderId="26" xfId="0" applyNumberFormat="1" applyFont="1" applyFill="1" applyBorder="1" applyAlignment="1" applyProtection="1">
      <alignment horizontal="center" vertical="center" wrapText="1"/>
    </xf>
    <xf numFmtId="168" fontId="4" fillId="4" borderId="1" xfId="0" applyNumberFormat="1" applyFont="1" applyFill="1" applyBorder="1" applyAlignment="1" applyProtection="1">
      <alignment horizontal="center" vertical="center" wrapText="1"/>
    </xf>
    <xf numFmtId="168" fontId="4" fillId="4" borderId="27" xfId="0" applyNumberFormat="1" applyFont="1" applyFill="1" applyBorder="1" applyAlignment="1" applyProtection="1">
      <alignment horizontal="center" vertical="center" wrapText="1"/>
    </xf>
  </cellXfs>
  <cellStyles count="5">
    <cellStyle name="Comma" xfId="3" builtinId="3"/>
    <cellStyle name="Comma 2" xfId="2"/>
    <cellStyle name="Normal" xfId="0" builtinId="0"/>
    <cellStyle name="Normal 2" xfId="1"/>
    <cellStyle name="Percent" xfId="4" builtinId="5"/>
  </cellStyles>
  <dxfs count="0"/>
  <tableStyles count="0" defaultTableStyle="TableStyleMedium2" defaultPivotStyle="PivotStyleMedium9"/>
  <colors>
    <mruColors>
      <color rgb="FFCCFF66"/>
      <color rgb="FFECF1AF"/>
      <color rgb="FFFBD5F8"/>
      <color rgb="FFF5A1EF"/>
      <color rgb="FFF7AFF2"/>
      <color rgb="FFF59DEF"/>
      <color rgb="FFF177E8"/>
      <color rgb="FFFCD5B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emf"/><Relationship Id="rId1" Type="http://schemas.openxmlformats.org/officeDocument/2006/relationships/image" Target="../media/image1.emf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6.emf"/><Relationship Id="rId2" Type="http://schemas.openxmlformats.org/officeDocument/2006/relationships/image" Target="../media/image5.emf"/><Relationship Id="rId1" Type="http://schemas.openxmlformats.org/officeDocument/2006/relationships/image" Target="../media/image4.emf"/><Relationship Id="rId4" Type="http://schemas.openxmlformats.org/officeDocument/2006/relationships/image" Target="../media/image7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320040</xdr:colOff>
      <xdr:row>0</xdr:row>
      <xdr:rowOff>0</xdr:rowOff>
    </xdr:from>
    <xdr:to>
      <xdr:col>12</xdr:col>
      <xdr:colOff>38100</xdr:colOff>
      <xdr:row>29</xdr:row>
      <xdr:rowOff>121920</xdr:rowOff>
    </xdr:to>
    <xdr:pic>
      <xdr:nvPicPr>
        <xdr:cNvPr id="2" name="Picture 1">
          <a:extLst>
            <a:ext uri="{FF2B5EF4-FFF2-40B4-BE49-F238E27FC236}">
              <a16:creationId xmlns=""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8457" r="10221"/>
        <a:stretch/>
      </xdr:blipFill>
      <xdr:spPr bwMode="auto">
        <a:xfrm>
          <a:off x="320040" y="0"/>
          <a:ext cx="7033260" cy="54254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358140</xdr:colOff>
      <xdr:row>56</xdr:row>
      <xdr:rowOff>0</xdr:rowOff>
    </xdr:from>
    <xdr:to>
      <xdr:col>12</xdr:col>
      <xdr:colOff>38100</xdr:colOff>
      <xdr:row>81</xdr:row>
      <xdr:rowOff>38100</xdr:rowOff>
    </xdr:to>
    <xdr:pic>
      <xdr:nvPicPr>
        <xdr:cNvPr id="4" name="Picture 3">
          <a:extLst>
            <a:ext uri="{FF2B5EF4-FFF2-40B4-BE49-F238E27FC236}">
              <a16:creationId xmlns="" xmlns:a16="http://schemas.microsoft.com/office/drawing/2014/main" id="{00000000-0008-0000-0000-000004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8811" r="10309"/>
        <a:stretch/>
      </xdr:blipFill>
      <xdr:spPr bwMode="auto">
        <a:xfrm>
          <a:off x="358140" y="10241280"/>
          <a:ext cx="6995160" cy="4610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219075</xdr:colOff>
      <xdr:row>29</xdr:row>
      <xdr:rowOff>114300</xdr:rowOff>
    </xdr:from>
    <xdr:to>
      <xdr:col>12</xdr:col>
      <xdr:colOff>507988</xdr:colOff>
      <xdr:row>56</xdr:row>
      <xdr:rowOff>114300</xdr:rowOff>
    </xdr:to>
    <xdr:pic>
      <xdr:nvPicPr>
        <xdr:cNvPr id="5" name="Picture 4" descr="3PT.png">
          <a:extLst>
            <a:ext uri="{FF2B5EF4-FFF2-40B4-BE49-F238E27FC236}">
              <a16:creationId xmlns="" xmlns:a16="http://schemas.microsoft.com/office/drawing/2014/main" id="{00000000-0008-0000-00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rcRect l="5920"/>
        <a:stretch>
          <a:fillRect/>
        </a:stretch>
      </xdr:blipFill>
      <xdr:spPr>
        <a:xfrm>
          <a:off x="219075" y="5638800"/>
          <a:ext cx="7604113" cy="51435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327660</xdr:colOff>
      <xdr:row>0</xdr:row>
      <xdr:rowOff>0</xdr:rowOff>
    </xdr:from>
    <xdr:to>
      <xdr:col>12</xdr:col>
      <xdr:colOff>182880</xdr:colOff>
      <xdr:row>32</xdr:row>
      <xdr:rowOff>83820</xdr:rowOff>
    </xdr:to>
    <xdr:pic>
      <xdr:nvPicPr>
        <xdr:cNvPr id="2" name="Picture 1">
          <a:extLst>
            <a:ext uri="{FF2B5EF4-FFF2-40B4-BE49-F238E27FC236}">
              <a16:creationId xmlns="" xmlns:a16="http://schemas.microsoft.com/office/drawing/2014/main" id="{00000000-0008-0000-0100-000002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8483" r="10883"/>
        <a:stretch/>
      </xdr:blipFill>
      <xdr:spPr bwMode="auto">
        <a:xfrm>
          <a:off x="327660" y="0"/>
          <a:ext cx="7170420" cy="59359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320040</xdr:colOff>
      <xdr:row>32</xdr:row>
      <xdr:rowOff>83820</xdr:rowOff>
    </xdr:from>
    <xdr:to>
      <xdr:col>12</xdr:col>
      <xdr:colOff>182880</xdr:colOff>
      <xdr:row>50</xdr:row>
      <xdr:rowOff>121920</xdr:rowOff>
    </xdr:to>
    <xdr:pic>
      <xdr:nvPicPr>
        <xdr:cNvPr id="3" name="Picture 2">
          <a:extLst>
            <a:ext uri="{FF2B5EF4-FFF2-40B4-BE49-F238E27FC236}">
              <a16:creationId xmlns="" xmlns:a16="http://schemas.microsoft.com/office/drawing/2014/main" id="{00000000-0008-0000-0100-000003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8427" r="10575"/>
        <a:stretch/>
      </xdr:blipFill>
      <xdr:spPr bwMode="auto">
        <a:xfrm>
          <a:off x="320040" y="5935980"/>
          <a:ext cx="7178040" cy="33299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335280</xdr:colOff>
      <xdr:row>50</xdr:row>
      <xdr:rowOff>129540</xdr:rowOff>
    </xdr:from>
    <xdr:to>
      <xdr:col>12</xdr:col>
      <xdr:colOff>182880</xdr:colOff>
      <xdr:row>84</xdr:row>
      <xdr:rowOff>175260</xdr:rowOff>
    </xdr:to>
    <xdr:pic>
      <xdr:nvPicPr>
        <xdr:cNvPr id="4" name="Picture 3">
          <a:extLst>
            <a:ext uri="{FF2B5EF4-FFF2-40B4-BE49-F238E27FC236}">
              <a16:creationId xmlns="" xmlns:a16="http://schemas.microsoft.com/office/drawing/2014/main" id="{00000000-0008-0000-0100-000004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8599" r="10576"/>
        <a:stretch/>
      </xdr:blipFill>
      <xdr:spPr bwMode="auto">
        <a:xfrm>
          <a:off x="335280" y="9273540"/>
          <a:ext cx="7162800" cy="62636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358140</xdr:colOff>
      <xdr:row>85</xdr:row>
      <xdr:rowOff>0</xdr:rowOff>
    </xdr:from>
    <xdr:to>
      <xdr:col>12</xdr:col>
      <xdr:colOff>190500</xdr:colOff>
      <xdr:row>100</xdr:row>
      <xdr:rowOff>121920</xdr:rowOff>
    </xdr:to>
    <xdr:pic>
      <xdr:nvPicPr>
        <xdr:cNvPr id="5" name="Picture 4">
          <a:extLst>
            <a:ext uri="{FF2B5EF4-FFF2-40B4-BE49-F238E27FC236}">
              <a16:creationId xmlns="" xmlns:a16="http://schemas.microsoft.com/office/drawing/2014/main" id="{00000000-0008-0000-0100-000005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0026" r="10797"/>
        <a:stretch/>
      </xdr:blipFill>
      <xdr:spPr bwMode="auto">
        <a:xfrm>
          <a:off x="358140" y="15544800"/>
          <a:ext cx="7147560" cy="28651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"/>
  <sheetViews>
    <sheetView workbookViewId="0">
      <selection activeCell="N46" sqref="N46"/>
    </sheetView>
  </sheetViews>
  <sheetFormatPr defaultRowHeight="15" x14ac:dyDescent="0.25"/>
  <sheetData/>
  <sheetProtection password="EC06" sheet="1" objects="1" scenarios="1"/>
  <pageMargins left="0.70866141732283472" right="0.70866141732283472" top="0.74803149606299213" bottom="0.74803149606299213" header="0.31496062992125984" footer="0.31496062992125984"/>
  <pageSetup paperSize="9" scale="61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>
      <selection activeCell="Q12" sqref="Q12"/>
    </sheetView>
  </sheetViews>
  <sheetFormatPr defaultRowHeight="15" x14ac:dyDescent="0.25"/>
  <sheetData/>
  <sheetProtection password="EC06" sheet="1" objects="1" scenarios="1"/>
  <pageMargins left="0.70866141732283472" right="0.70866141732283472" top="0.74803149606299213" bottom="0.74803149606299213" header="0.31496062992125984" footer="0.31496062992125984"/>
  <pageSetup paperSize="9" scale="65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 tint="0.39997558519241921"/>
  </sheetPr>
  <dimension ref="A2:R72"/>
  <sheetViews>
    <sheetView tabSelected="1" topLeftCell="E2" zoomScale="115" zoomScaleNormal="115" zoomScaleSheetLayoutView="115" workbookViewId="0">
      <selection activeCell="N18" sqref="N18"/>
    </sheetView>
  </sheetViews>
  <sheetFormatPr defaultColWidth="9.140625" defaultRowHeight="15" x14ac:dyDescent="0.25"/>
  <cols>
    <col min="1" max="1" width="4.5703125" style="38" hidden="1" customWidth="1"/>
    <col min="2" max="2" width="6.140625" style="38" hidden="1" customWidth="1"/>
    <col min="3" max="3" width="7.7109375" style="38" hidden="1" customWidth="1"/>
    <col min="4" max="4" width="6.7109375" style="38" hidden="1" customWidth="1"/>
    <col min="5" max="5" width="5.28515625" style="83" bestFit="1" customWidth="1"/>
    <col min="6" max="6" width="9.7109375" style="83" bestFit="1" customWidth="1"/>
    <col min="7" max="7" width="10.140625" style="38" bestFit="1" customWidth="1"/>
    <col min="8" max="8" width="9.85546875" style="38" bestFit="1" customWidth="1"/>
    <col min="9" max="9" width="11.28515625" style="38" bestFit="1" customWidth="1"/>
    <col min="10" max="11" width="9.85546875" style="38" bestFit="1" customWidth="1"/>
    <col min="12" max="12" width="11.28515625" style="38" bestFit="1" customWidth="1"/>
    <col min="13" max="13" width="9.85546875" style="38" bestFit="1" customWidth="1"/>
    <col min="14" max="14" width="14.7109375" style="38" customWidth="1"/>
    <col min="15" max="15" width="13.140625" style="38" bestFit="1" customWidth="1"/>
    <col min="16" max="18" width="9.85546875" style="38" bestFit="1" customWidth="1"/>
    <col min="19" max="16384" width="9.140625" style="38"/>
  </cols>
  <sheetData>
    <row r="2" spans="5:18" s="39" customFormat="1" ht="21.75" customHeight="1" x14ac:dyDescent="0.25">
      <c r="E2" s="258" t="s">
        <v>171</v>
      </c>
      <c r="F2" s="258"/>
      <c r="G2" s="258"/>
      <c r="H2" s="258"/>
      <c r="I2" s="258"/>
      <c r="J2" s="258"/>
      <c r="K2" s="258"/>
      <c r="L2" s="258"/>
      <c r="M2" s="258"/>
      <c r="N2" s="258"/>
      <c r="O2" s="258"/>
      <c r="P2" s="258"/>
      <c r="Q2" s="258"/>
      <c r="R2" s="258"/>
    </row>
    <row r="3" spans="5:18" s="14" customFormat="1" ht="33" customHeight="1" x14ac:dyDescent="0.25">
      <c r="E3" s="259" t="s">
        <v>170</v>
      </c>
      <c r="F3" s="259"/>
      <c r="G3" s="259"/>
      <c r="H3" s="259"/>
      <c r="I3" s="259"/>
      <c r="J3" s="259"/>
      <c r="K3" s="259"/>
      <c r="L3" s="259"/>
      <c r="M3" s="259"/>
      <c r="N3" s="259"/>
      <c r="O3" s="259"/>
      <c r="P3" s="259"/>
      <c r="Q3" s="259"/>
      <c r="R3" s="259"/>
    </row>
    <row r="4" spans="5:18" s="14" customFormat="1" x14ac:dyDescent="0.25">
      <c r="E4" s="30"/>
      <c r="F4" s="30"/>
      <c r="G4" s="15"/>
      <c r="H4" s="15"/>
      <c r="I4" s="15"/>
      <c r="J4" s="15"/>
      <c r="K4" s="15"/>
      <c r="L4" s="15"/>
      <c r="M4" s="15"/>
      <c r="N4" s="15"/>
      <c r="O4" s="15"/>
    </row>
    <row r="5" spans="5:18" ht="15.75" x14ac:dyDescent="0.25">
      <c r="E5" s="260" t="s">
        <v>210</v>
      </c>
      <c r="F5" s="260"/>
      <c r="G5" s="260"/>
      <c r="H5" s="260"/>
      <c r="I5" s="260"/>
      <c r="J5" s="260"/>
      <c r="K5" s="260"/>
      <c r="L5" s="260"/>
      <c r="M5" s="260"/>
      <c r="N5" s="260"/>
      <c r="O5" s="260"/>
      <c r="P5" s="260"/>
      <c r="Q5" s="260"/>
      <c r="R5" s="260"/>
    </row>
    <row r="6" spans="5:18" s="14" customFormat="1" x14ac:dyDescent="0.25">
      <c r="E6" s="30"/>
      <c r="F6" s="30"/>
      <c r="G6" s="15"/>
      <c r="H6" s="15"/>
      <c r="I6" s="15"/>
      <c r="J6" s="15"/>
      <c r="K6" s="15"/>
      <c r="L6" s="15"/>
      <c r="M6" s="15"/>
      <c r="N6" s="15"/>
      <c r="O6" s="15"/>
    </row>
    <row r="7" spans="5:18" ht="15" customHeight="1" x14ac:dyDescent="0.25">
      <c r="E7" s="261" t="s">
        <v>245</v>
      </c>
      <c r="F7" s="261"/>
      <c r="G7" s="261"/>
      <c r="H7" s="261"/>
      <c r="I7" s="261"/>
      <c r="J7" s="261"/>
      <c r="K7" s="261"/>
      <c r="L7" s="261"/>
      <c r="M7" s="261"/>
      <c r="N7" s="261"/>
      <c r="O7" s="262" t="s">
        <v>202</v>
      </c>
      <c r="P7" s="263"/>
      <c r="Q7" s="263"/>
      <c r="R7" s="264"/>
    </row>
    <row r="8" spans="5:18" ht="15.75" customHeight="1" x14ac:dyDescent="0.25">
      <c r="E8" s="238" t="s">
        <v>8</v>
      </c>
      <c r="F8" s="238"/>
      <c r="G8" s="238"/>
      <c r="H8" s="238"/>
      <c r="I8" s="157">
        <v>22386</v>
      </c>
      <c r="J8" s="215" t="s">
        <v>153</v>
      </c>
      <c r="K8" s="251" t="s">
        <v>280</v>
      </c>
      <c r="L8" s="252"/>
      <c r="M8" s="252"/>
      <c r="N8" s="253"/>
      <c r="O8" s="244" t="s">
        <v>204</v>
      </c>
      <c r="P8" s="244"/>
      <c r="Q8" s="244"/>
      <c r="R8" s="244"/>
    </row>
    <row r="9" spans="5:18" x14ac:dyDescent="0.25">
      <c r="E9" s="238" t="s">
        <v>10</v>
      </c>
      <c r="F9" s="238"/>
      <c r="G9" s="238"/>
      <c r="H9" s="238"/>
      <c r="I9" s="157">
        <v>29221</v>
      </c>
      <c r="J9" s="245" t="s">
        <v>165</v>
      </c>
      <c r="K9" s="246"/>
      <c r="L9" s="246"/>
      <c r="M9" s="247"/>
      <c r="N9" s="37">
        <v>0</v>
      </c>
      <c r="O9" s="244"/>
      <c r="P9" s="244"/>
      <c r="Q9" s="244"/>
      <c r="R9" s="244"/>
    </row>
    <row r="10" spans="5:18" ht="15" customHeight="1" x14ac:dyDescent="0.25">
      <c r="E10" s="238" t="s">
        <v>189</v>
      </c>
      <c r="F10" s="238"/>
      <c r="G10" s="238"/>
      <c r="H10" s="238"/>
      <c r="I10" s="157">
        <v>43586</v>
      </c>
      <c r="J10" s="266" t="s">
        <v>230</v>
      </c>
      <c r="K10" s="266"/>
      <c r="L10" s="250">
        <v>44287</v>
      </c>
      <c r="M10" s="256" t="s">
        <v>163</v>
      </c>
      <c r="N10" s="248">
        <v>39</v>
      </c>
      <c r="O10" s="244"/>
      <c r="P10" s="244"/>
      <c r="Q10" s="244"/>
      <c r="R10" s="244"/>
    </row>
    <row r="11" spans="5:18" ht="27.6" customHeight="1" x14ac:dyDescent="0.25">
      <c r="E11" s="238" t="s">
        <v>212</v>
      </c>
      <c r="F11" s="238"/>
      <c r="G11" s="238"/>
      <c r="H11" s="238"/>
      <c r="I11" s="157">
        <v>43586</v>
      </c>
      <c r="J11" s="266"/>
      <c r="K11" s="266"/>
      <c r="L11" s="250"/>
      <c r="M11" s="257"/>
      <c r="N11" s="249"/>
      <c r="O11" s="250">
        <v>43586</v>
      </c>
      <c r="P11" s="250"/>
      <c r="Q11" s="250"/>
      <c r="R11" s="250"/>
    </row>
    <row r="13" spans="5:18" s="85" customFormat="1" ht="18.75" x14ac:dyDescent="0.25">
      <c r="E13" s="240" t="s">
        <v>95</v>
      </c>
      <c r="F13" s="239" t="s">
        <v>211</v>
      </c>
      <c r="G13" s="241" t="s">
        <v>164</v>
      </c>
      <c r="H13" s="242"/>
      <c r="I13" s="242"/>
      <c r="J13" s="242"/>
      <c r="K13" s="242"/>
      <c r="L13" s="242"/>
      <c r="M13" s="242"/>
      <c r="N13" s="242"/>
      <c r="O13" s="242"/>
      <c r="P13" s="242"/>
      <c r="Q13" s="242"/>
      <c r="R13" s="243"/>
    </row>
    <row r="14" spans="5:18" ht="35.25" customHeight="1" x14ac:dyDescent="0.25">
      <c r="E14" s="240"/>
      <c r="F14" s="240"/>
      <c r="G14" s="254" t="s">
        <v>169</v>
      </c>
      <c r="H14" s="255"/>
      <c r="I14" s="255"/>
      <c r="J14" s="255"/>
      <c r="K14" s="255"/>
      <c r="L14" s="255"/>
      <c r="M14" s="255"/>
      <c r="N14" s="255"/>
      <c r="O14" s="49" t="s">
        <v>158</v>
      </c>
      <c r="P14" s="143"/>
      <c r="Q14" s="143"/>
      <c r="R14" s="143"/>
    </row>
    <row r="15" spans="5:18" x14ac:dyDescent="0.25">
      <c r="E15" s="237">
        <v>1</v>
      </c>
      <c r="F15" s="237" t="s">
        <v>108</v>
      </c>
      <c r="G15" s="225">
        <v>34790</v>
      </c>
      <c r="H15" s="225">
        <v>34820</v>
      </c>
      <c r="I15" s="225">
        <v>34851</v>
      </c>
      <c r="J15" s="225">
        <v>34881</v>
      </c>
      <c r="K15" s="225">
        <v>34912</v>
      </c>
      <c r="L15" s="225">
        <v>34943</v>
      </c>
      <c r="M15" s="225">
        <v>34973</v>
      </c>
      <c r="N15" s="225">
        <v>35004</v>
      </c>
      <c r="O15" s="225">
        <v>35034</v>
      </c>
      <c r="P15" s="225">
        <v>35065</v>
      </c>
      <c r="Q15" s="225">
        <v>35096</v>
      </c>
      <c r="R15" s="225">
        <v>35125</v>
      </c>
    </row>
    <row r="16" spans="5:18" s="84" customFormat="1" ht="15" customHeight="1" x14ac:dyDescent="0.25">
      <c r="E16" s="237"/>
      <c r="F16" s="237"/>
      <c r="G16" s="265" t="s">
        <v>166</v>
      </c>
      <c r="H16" s="265"/>
      <c r="I16" s="265"/>
      <c r="J16" s="265"/>
      <c r="K16" s="265"/>
      <c r="L16" s="265"/>
      <c r="M16" s="265"/>
      <c r="N16" s="226"/>
      <c r="O16" s="99"/>
      <c r="P16" s="223"/>
      <c r="Q16" s="99"/>
      <c r="R16" s="99"/>
    </row>
    <row r="17" spans="5:18" x14ac:dyDescent="0.25">
      <c r="E17" s="237">
        <v>2</v>
      </c>
      <c r="F17" s="237" t="s">
        <v>143</v>
      </c>
      <c r="G17" s="225">
        <v>35156</v>
      </c>
      <c r="H17" s="225">
        <v>35186</v>
      </c>
      <c r="I17" s="225">
        <v>35217</v>
      </c>
      <c r="J17" s="225">
        <v>35247</v>
      </c>
      <c r="K17" s="225">
        <v>35278</v>
      </c>
      <c r="L17" s="225">
        <v>35309</v>
      </c>
      <c r="M17" s="225">
        <v>35339</v>
      </c>
      <c r="N17" s="225">
        <v>35370</v>
      </c>
      <c r="O17" s="225">
        <v>35400</v>
      </c>
      <c r="P17" s="225">
        <v>35431</v>
      </c>
      <c r="Q17" s="225">
        <v>35462</v>
      </c>
      <c r="R17" s="225">
        <v>35490</v>
      </c>
    </row>
    <row r="18" spans="5:18" ht="15" customHeight="1" x14ac:dyDescent="0.25">
      <c r="E18" s="237"/>
      <c r="F18" s="237"/>
      <c r="G18" s="144"/>
      <c r="H18" s="144"/>
      <c r="I18" s="144"/>
      <c r="J18" s="144"/>
      <c r="K18" s="144"/>
      <c r="L18" s="144"/>
      <c r="M18" s="144"/>
      <c r="N18" s="144"/>
      <c r="O18" s="144"/>
      <c r="P18" s="144"/>
      <c r="Q18" s="144"/>
      <c r="R18" s="144"/>
    </row>
    <row r="19" spans="5:18" x14ac:dyDescent="0.25">
      <c r="E19" s="237">
        <v>3</v>
      </c>
      <c r="F19" s="237" t="s">
        <v>117</v>
      </c>
      <c r="G19" s="225">
        <v>35521</v>
      </c>
      <c r="H19" s="225">
        <v>35551</v>
      </c>
      <c r="I19" s="225">
        <v>35582</v>
      </c>
      <c r="J19" s="225">
        <v>35612</v>
      </c>
      <c r="K19" s="225">
        <v>35643</v>
      </c>
      <c r="L19" s="225">
        <v>35674</v>
      </c>
      <c r="M19" s="225">
        <v>35704</v>
      </c>
      <c r="N19" s="225">
        <v>35735</v>
      </c>
      <c r="O19" s="225">
        <v>35765</v>
      </c>
      <c r="P19" s="225">
        <v>35796</v>
      </c>
      <c r="Q19" s="225">
        <v>35827</v>
      </c>
      <c r="R19" s="225">
        <v>35855</v>
      </c>
    </row>
    <row r="20" spans="5:18" ht="15" customHeight="1" x14ac:dyDescent="0.25">
      <c r="E20" s="237"/>
      <c r="F20" s="237"/>
      <c r="G20" s="144"/>
      <c r="H20" s="144"/>
      <c r="I20" s="144"/>
      <c r="J20" s="144"/>
      <c r="K20" s="144"/>
      <c r="L20" s="144"/>
      <c r="M20" s="144"/>
      <c r="N20" s="144"/>
      <c r="O20" s="144"/>
      <c r="P20" s="144"/>
      <c r="Q20" s="144"/>
      <c r="R20" s="144"/>
    </row>
    <row r="21" spans="5:18" x14ac:dyDescent="0.25">
      <c r="E21" s="237">
        <v>4</v>
      </c>
      <c r="F21" s="237" t="s">
        <v>118</v>
      </c>
      <c r="G21" s="225">
        <v>35886</v>
      </c>
      <c r="H21" s="225">
        <v>35916</v>
      </c>
      <c r="I21" s="225">
        <v>35947</v>
      </c>
      <c r="J21" s="225">
        <v>35977</v>
      </c>
      <c r="K21" s="225">
        <v>36008</v>
      </c>
      <c r="L21" s="225">
        <v>36039</v>
      </c>
      <c r="M21" s="225">
        <v>36069</v>
      </c>
      <c r="N21" s="225">
        <v>36100</v>
      </c>
      <c r="O21" s="225">
        <v>36130</v>
      </c>
      <c r="P21" s="225">
        <v>36161</v>
      </c>
      <c r="Q21" s="225">
        <v>36192</v>
      </c>
      <c r="R21" s="225">
        <v>36220</v>
      </c>
    </row>
    <row r="22" spans="5:18" ht="15" customHeight="1" x14ac:dyDescent="0.25">
      <c r="E22" s="237"/>
      <c r="F22" s="237"/>
      <c r="G22" s="144"/>
      <c r="H22" s="144"/>
      <c r="I22" s="144"/>
      <c r="J22" s="144"/>
      <c r="K22" s="144"/>
      <c r="L22" s="144"/>
      <c r="M22" s="144"/>
      <c r="N22" s="144"/>
      <c r="O22" s="144"/>
      <c r="P22" s="144"/>
      <c r="Q22" s="144"/>
      <c r="R22" s="144"/>
    </row>
    <row r="23" spans="5:18" x14ac:dyDescent="0.25">
      <c r="E23" s="237">
        <v>5</v>
      </c>
      <c r="F23" s="237" t="s">
        <v>119</v>
      </c>
      <c r="G23" s="225">
        <v>36251</v>
      </c>
      <c r="H23" s="225">
        <v>36281</v>
      </c>
      <c r="I23" s="225">
        <v>36312</v>
      </c>
      <c r="J23" s="225">
        <v>36342</v>
      </c>
      <c r="K23" s="225">
        <v>36373</v>
      </c>
      <c r="L23" s="225">
        <v>36404</v>
      </c>
      <c r="M23" s="225">
        <v>36434</v>
      </c>
      <c r="N23" s="225">
        <v>36465</v>
      </c>
      <c r="O23" s="225">
        <v>36495</v>
      </c>
      <c r="P23" s="225">
        <v>36526</v>
      </c>
      <c r="Q23" s="225">
        <v>36557</v>
      </c>
      <c r="R23" s="225">
        <v>36586</v>
      </c>
    </row>
    <row r="24" spans="5:18" ht="15" customHeight="1" x14ac:dyDescent="0.25">
      <c r="E24" s="237"/>
      <c r="F24" s="237"/>
      <c r="G24" s="144"/>
      <c r="H24" s="144"/>
      <c r="I24" s="144"/>
      <c r="J24" s="144"/>
      <c r="K24" s="144"/>
      <c r="L24" s="144"/>
      <c r="M24" s="144"/>
      <c r="N24" s="144"/>
      <c r="O24" s="144"/>
      <c r="P24" s="144"/>
      <c r="Q24" s="144"/>
      <c r="R24" s="144"/>
    </row>
    <row r="25" spans="5:18" x14ac:dyDescent="0.25">
      <c r="E25" s="237">
        <v>6</v>
      </c>
      <c r="F25" s="237" t="s">
        <v>120</v>
      </c>
      <c r="G25" s="225">
        <v>36617</v>
      </c>
      <c r="H25" s="225">
        <v>36647</v>
      </c>
      <c r="I25" s="225">
        <v>36678</v>
      </c>
      <c r="J25" s="225">
        <v>36708</v>
      </c>
      <c r="K25" s="225">
        <v>36739</v>
      </c>
      <c r="L25" s="225">
        <v>36770</v>
      </c>
      <c r="M25" s="225">
        <v>36800</v>
      </c>
      <c r="N25" s="225">
        <v>36831</v>
      </c>
      <c r="O25" s="225">
        <v>36861</v>
      </c>
      <c r="P25" s="225">
        <v>36892</v>
      </c>
      <c r="Q25" s="225">
        <v>36923</v>
      </c>
      <c r="R25" s="225">
        <v>36951</v>
      </c>
    </row>
    <row r="26" spans="5:18" ht="15" customHeight="1" x14ac:dyDescent="0.25">
      <c r="E26" s="237"/>
      <c r="F26" s="237"/>
      <c r="G26" s="144"/>
      <c r="H26" s="144"/>
      <c r="I26" s="144"/>
      <c r="J26" s="144"/>
      <c r="K26" s="144"/>
      <c r="L26" s="144"/>
      <c r="M26" s="144"/>
      <c r="N26" s="144"/>
      <c r="O26" s="144"/>
      <c r="P26" s="144"/>
      <c r="Q26" s="144"/>
      <c r="R26" s="144"/>
    </row>
    <row r="27" spans="5:18" x14ac:dyDescent="0.25">
      <c r="E27" s="237">
        <v>7</v>
      </c>
      <c r="F27" s="237" t="s">
        <v>121</v>
      </c>
      <c r="G27" s="225">
        <v>36982</v>
      </c>
      <c r="H27" s="225">
        <v>37012</v>
      </c>
      <c r="I27" s="227">
        <v>37043</v>
      </c>
      <c r="J27" s="225">
        <v>37073</v>
      </c>
      <c r="K27" s="225">
        <v>37104</v>
      </c>
      <c r="L27" s="225">
        <v>37135</v>
      </c>
      <c r="M27" s="225">
        <v>37165</v>
      </c>
      <c r="N27" s="225">
        <v>37196</v>
      </c>
      <c r="O27" s="225">
        <v>37226</v>
      </c>
      <c r="P27" s="225">
        <v>37257</v>
      </c>
      <c r="Q27" s="225">
        <v>37288</v>
      </c>
      <c r="R27" s="225">
        <v>37316</v>
      </c>
    </row>
    <row r="28" spans="5:18" ht="15" customHeight="1" x14ac:dyDescent="0.25">
      <c r="E28" s="237"/>
      <c r="F28" s="237"/>
      <c r="G28" s="144"/>
      <c r="H28" s="144"/>
      <c r="I28" s="144"/>
      <c r="J28" s="144"/>
      <c r="K28" s="144"/>
      <c r="L28" s="144"/>
      <c r="M28" s="144"/>
      <c r="N28" s="144"/>
      <c r="O28" s="144"/>
      <c r="P28" s="144"/>
      <c r="Q28" s="144"/>
      <c r="R28" s="144"/>
    </row>
    <row r="29" spans="5:18" x14ac:dyDescent="0.25">
      <c r="E29" s="237">
        <v>8</v>
      </c>
      <c r="F29" s="237" t="s">
        <v>123</v>
      </c>
      <c r="G29" s="225">
        <v>37347</v>
      </c>
      <c r="H29" s="225">
        <v>37377</v>
      </c>
      <c r="I29" s="225">
        <v>37408</v>
      </c>
      <c r="J29" s="225">
        <v>37438</v>
      </c>
      <c r="K29" s="225">
        <v>37469</v>
      </c>
      <c r="L29" s="225">
        <v>37500</v>
      </c>
      <c r="M29" s="225">
        <v>37530</v>
      </c>
      <c r="N29" s="225">
        <v>37561</v>
      </c>
      <c r="O29" s="225">
        <v>37591</v>
      </c>
      <c r="P29" s="225">
        <v>37622</v>
      </c>
      <c r="Q29" s="225">
        <v>37653</v>
      </c>
      <c r="R29" s="225">
        <v>37681</v>
      </c>
    </row>
    <row r="30" spans="5:18" ht="15" customHeight="1" x14ac:dyDescent="0.25">
      <c r="E30" s="237"/>
      <c r="F30" s="237"/>
      <c r="G30" s="144"/>
      <c r="H30" s="144"/>
      <c r="I30" s="144"/>
      <c r="J30" s="144"/>
      <c r="K30" s="144"/>
      <c r="L30" s="144"/>
      <c r="M30" s="224"/>
      <c r="N30" s="144"/>
      <c r="O30" s="144"/>
      <c r="P30" s="144"/>
      <c r="Q30" s="144"/>
      <c r="R30" s="144"/>
    </row>
    <row r="31" spans="5:18" x14ac:dyDescent="0.25">
      <c r="E31" s="237">
        <v>9</v>
      </c>
      <c r="F31" s="237" t="s">
        <v>124</v>
      </c>
      <c r="G31" s="225">
        <v>37712</v>
      </c>
      <c r="H31" s="225">
        <v>37742</v>
      </c>
      <c r="I31" s="225">
        <v>37773</v>
      </c>
      <c r="J31" s="225">
        <v>37803</v>
      </c>
      <c r="K31" s="225">
        <v>37834</v>
      </c>
      <c r="L31" s="225">
        <v>37865</v>
      </c>
      <c r="M31" s="225">
        <v>37895</v>
      </c>
      <c r="N31" s="225">
        <v>37926</v>
      </c>
      <c r="O31" s="225">
        <v>37956</v>
      </c>
      <c r="P31" s="225">
        <v>37987</v>
      </c>
      <c r="Q31" s="225">
        <v>38018</v>
      </c>
      <c r="R31" s="225">
        <v>38047</v>
      </c>
    </row>
    <row r="32" spans="5:18" ht="15" customHeight="1" x14ac:dyDescent="0.25">
      <c r="E32" s="237"/>
      <c r="F32" s="237"/>
      <c r="G32" s="144"/>
      <c r="H32" s="144"/>
      <c r="I32" s="144"/>
      <c r="J32" s="144"/>
      <c r="K32" s="144"/>
      <c r="L32" s="144"/>
      <c r="M32" s="144"/>
      <c r="N32" s="144"/>
      <c r="O32" s="144"/>
      <c r="P32" s="144"/>
      <c r="Q32" s="144"/>
      <c r="R32" s="144"/>
    </row>
    <row r="33" spans="5:18" x14ac:dyDescent="0.25">
      <c r="E33" s="237">
        <v>10</v>
      </c>
      <c r="F33" s="237" t="s">
        <v>125</v>
      </c>
      <c r="G33" s="225">
        <v>38078</v>
      </c>
      <c r="H33" s="225">
        <v>38108</v>
      </c>
      <c r="I33" s="225">
        <v>38139</v>
      </c>
      <c r="J33" s="225">
        <v>38169</v>
      </c>
      <c r="K33" s="225">
        <v>38200</v>
      </c>
      <c r="L33" s="225">
        <v>38231</v>
      </c>
      <c r="M33" s="225">
        <v>38261</v>
      </c>
      <c r="N33" s="225">
        <v>38292</v>
      </c>
      <c r="O33" s="225">
        <v>38322</v>
      </c>
      <c r="P33" s="225">
        <v>38353</v>
      </c>
      <c r="Q33" s="225">
        <v>38384</v>
      </c>
      <c r="R33" s="225">
        <v>38412</v>
      </c>
    </row>
    <row r="34" spans="5:18" ht="15" customHeight="1" x14ac:dyDescent="0.25">
      <c r="E34" s="237"/>
      <c r="F34" s="237"/>
      <c r="G34" s="144"/>
      <c r="H34" s="144"/>
      <c r="I34" s="144"/>
      <c r="J34" s="144"/>
      <c r="K34" s="144"/>
      <c r="L34" s="144"/>
      <c r="M34" s="144"/>
      <c r="N34" s="144"/>
      <c r="O34" s="144"/>
      <c r="P34" s="144"/>
      <c r="Q34" s="144"/>
      <c r="R34" s="144"/>
    </row>
    <row r="35" spans="5:18" x14ac:dyDescent="0.25">
      <c r="E35" s="237">
        <v>11</v>
      </c>
      <c r="F35" s="237" t="s">
        <v>126</v>
      </c>
      <c r="G35" s="225">
        <v>38443</v>
      </c>
      <c r="H35" s="225">
        <v>38473</v>
      </c>
      <c r="I35" s="225">
        <v>38504</v>
      </c>
      <c r="J35" s="225">
        <v>38534</v>
      </c>
      <c r="K35" s="225">
        <v>38565</v>
      </c>
      <c r="L35" s="225">
        <v>38596</v>
      </c>
      <c r="M35" s="225">
        <v>38626</v>
      </c>
      <c r="N35" s="225">
        <v>38657</v>
      </c>
      <c r="O35" s="225">
        <v>38687</v>
      </c>
      <c r="P35" s="225">
        <v>38718</v>
      </c>
      <c r="Q35" s="225">
        <v>38749</v>
      </c>
      <c r="R35" s="225">
        <v>38777</v>
      </c>
    </row>
    <row r="36" spans="5:18" ht="15" customHeight="1" x14ac:dyDescent="0.25">
      <c r="E36" s="237"/>
      <c r="F36" s="237"/>
      <c r="G36" s="144"/>
      <c r="H36" s="144"/>
      <c r="I36" s="144"/>
      <c r="J36" s="144"/>
      <c r="K36" s="144"/>
      <c r="L36" s="144"/>
      <c r="M36" s="144"/>
      <c r="N36" s="144"/>
      <c r="O36" s="144"/>
      <c r="P36" s="144"/>
      <c r="Q36" s="144"/>
      <c r="R36" s="144"/>
    </row>
    <row r="37" spans="5:18" x14ac:dyDescent="0.25">
      <c r="E37" s="237">
        <v>12</v>
      </c>
      <c r="F37" s="237" t="s">
        <v>127</v>
      </c>
      <c r="G37" s="225">
        <v>38808</v>
      </c>
      <c r="H37" s="225">
        <v>38838</v>
      </c>
      <c r="I37" s="225">
        <v>38869</v>
      </c>
      <c r="J37" s="225">
        <v>38899</v>
      </c>
      <c r="K37" s="225">
        <v>38930</v>
      </c>
      <c r="L37" s="225">
        <v>38961</v>
      </c>
      <c r="M37" s="225">
        <v>38991</v>
      </c>
      <c r="N37" s="225">
        <v>39022</v>
      </c>
      <c r="O37" s="225">
        <v>39052</v>
      </c>
      <c r="P37" s="225">
        <v>39083</v>
      </c>
      <c r="Q37" s="225">
        <v>39114</v>
      </c>
      <c r="R37" s="225">
        <v>39142</v>
      </c>
    </row>
    <row r="38" spans="5:18" ht="15" customHeight="1" x14ac:dyDescent="0.25">
      <c r="E38" s="237"/>
      <c r="F38" s="237"/>
      <c r="G38" s="144"/>
      <c r="H38" s="144"/>
      <c r="I38" s="144"/>
      <c r="J38" s="144"/>
      <c r="K38" s="144"/>
      <c r="L38" s="144"/>
      <c r="M38" s="144"/>
      <c r="N38" s="144"/>
      <c r="O38" s="144"/>
      <c r="P38" s="144"/>
      <c r="Q38" s="144"/>
      <c r="R38" s="144"/>
    </row>
    <row r="39" spans="5:18" x14ac:dyDescent="0.25">
      <c r="E39" s="237">
        <v>13</v>
      </c>
      <c r="F39" s="237" t="s">
        <v>128</v>
      </c>
      <c r="G39" s="225">
        <v>39173</v>
      </c>
      <c r="H39" s="225">
        <v>39203</v>
      </c>
      <c r="I39" s="225">
        <v>39234</v>
      </c>
      <c r="J39" s="225">
        <v>39264</v>
      </c>
      <c r="K39" s="225">
        <v>39295</v>
      </c>
      <c r="L39" s="225">
        <v>39326</v>
      </c>
      <c r="M39" s="225">
        <v>39356</v>
      </c>
      <c r="N39" s="225">
        <v>39387</v>
      </c>
      <c r="O39" s="225">
        <v>39417</v>
      </c>
      <c r="P39" s="225">
        <v>39448</v>
      </c>
      <c r="Q39" s="225">
        <v>39479</v>
      </c>
      <c r="R39" s="225">
        <v>39508</v>
      </c>
    </row>
    <row r="40" spans="5:18" ht="15" customHeight="1" x14ac:dyDescent="0.25">
      <c r="E40" s="237"/>
      <c r="F40" s="237"/>
      <c r="G40" s="144"/>
      <c r="H40" s="144"/>
      <c r="I40" s="144"/>
      <c r="J40" s="144"/>
      <c r="K40" s="144"/>
      <c r="L40" s="144"/>
      <c r="M40" s="144"/>
      <c r="N40" s="144"/>
      <c r="O40" s="144"/>
      <c r="P40" s="144"/>
      <c r="Q40" s="144"/>
      <c r="R40" s="144"/>
    </row>
    <row r="41" spans="5:18" x14ac:dyDescent="0.25">
      <c r="E41" s="237">
        <v>14</v>
      </c>
      <c r="F41" s="237" t="s">
        <v>129</v>
      </c>
      <c r="G41" s="225">
        <v>39539</v>
      </c>
      <c r="H41" s="225">
        <v>39569</v>
      </c>
      <c r="I41" s="225">
        <v>39600</v>
      </c>
      <c r="J41" s="225">
        <v>39630</v>
      </c>
      <c r="K41" s="225">
        <v>39661</v>
      </c>
      <c r="L41" s="225">
        <v>39692</v>
      </c>
      <c r="M41" s="225">
        <v>39722</v>
      </c>
      <c r="N41" s="225">
        <v>39753</v>
      </c>
      <c r="O41" s="225">
        <v>39783</v>
      </c>
      <c r="P41" s="225">
        <v>39814</v>
      </c>
      <c r="Q41" s="225">
        <v>39845</v>
      </c>
      <c r="R41" s="225">
        <v>39873</v>
      </c>
    </row>
    <row r="42" spans="5:18" ht="15" customHeight="1" x14ac:dyDescent="0.25">
      <c r="E42" s="237"/>
      <c r="F42" s="237"/>
      <c r="G42" s="144"/>
      <c r="H42" s="144"/>
      <c r="I42" s="144"/>
      <c r="J42" s="144"/>
      <c r="K42" s="144"/>
      <c r="L42" s="144"/>
      <c r="M42" s="144"/>
      <c r="N42" s="144"/>
      <c r="O42" s="144"/>
      <c r="P42" s="144"/>
      <c r="Q42" s="144"/>
      <c r="R42" s="144">
        <v>174178</v>
      </c>
    </row>
    <row r="43" spans="5:18" x14ac:dyDescent="0.25">
      <c r="E43" s="237">
        <v>15</v>
      </c>
      <c r="F43" s="237" t="s">
        <v>130</v>
      </c>
      <c r="G43" s="225">
        <v>39904</v>
      </c>
      <c r="H43" s="225">
        <v>39934</v>
      </c>
      <c r="I43" s="225">
        <v>39965</v>
      </c>
      <c r="J43" s="225">
        <v>39995</v>
      </c>
      <c r="K43" s="225">
        <v>40026</v>
      </c>
      <c r="L43" s="225">
        <v>40057</v>
      </c>
      <c r="M43" s="225">
        <v>40087</v>
      </c>
      <c r="N43" s="225">
        <v>40118</v>
      </c>
      <c r="O43" s="225">
        <v>40148</v>
      </c>
      <c r="P43" s="225">
        <v>40179</v>
      </c>
      <c r="Q43" s="225">
        <v>40210</v>
      </c>
      <c r="R43" s="225">
        <v>40238</v>
      </c>
    </row>
    <row r="44" spans="5:18" ht="15" customHeight="1" x14ac:dyDescent="0.25">
      <c r="E44" s="237"/>
      <c r="F44" s="237"/>
      <c r="G44" s="144">
        <v>28963</v>
      </c>
      <c r="H44" s="144">
        <v>28963</v>
      </c>
      <c r="I44" s="144">
        <v>31813</v>
      </c>
      <c r="J44" s="144">
        <v>29841</v>
      </c>
      <c r="K44" s="144">
        <v>29841</v>
      </c>
      <c r="L44" s="144">
        <v>29841</v>
      </c>
      <c r="M44" s="144">
        <v>31064</v>
      </c>
      <c r="N44" s="144">
        <v>31064</v>
      </c>
      <c r="O44" s="144">
        <v>34721</v>
      </c>
      <c r="P44" s="144">
        <v>31052</v>
      </c>
      <c r="Q44" s="144">
        <v>31052</v>
      </c>
      <c r="R44" s="144">
        <v>31052</v>
      </c>
    </row>
    <row r="45" spans="5:18" x14ac:dyDescent="0.25">
      <c r="E45" s="237">
        <v>16</v>
      </c>
      <c r="F45" s="237" t="s">
        <v>131</v>
      </c>
      <c r="G45" s="225">
        <v>40269</v>
      </c>
      <c r="H45" s="225">
        <v>40299</v>
      </c>
      <c r="I45" s="225">
        <v>40330</v>
      </c>
      <c r="J45" s="225">
        <v>40360</v>
      </c>
      <c r="K45" s="225">
        <v>40391</v>
      </c>
      <c r="L45" s="225">
        <v>40422</v>
      </c>
      <c r="M45" s="225">
        <v>40452</v>
      </c>
      <c r="N45" s="225">
        <v>40483</v>
      </c>
      <c r="O45" s="225">
        <v>40513</v>
      </c>
      <c r="P45" s="225">
        <v>40544</v>
      </c>
      <c r="Q45" s="225">
        <v>40575</v>
      </c>
      <c r="R45" s="225">
        <v>40603</v>
      </c>
    </row>
    <row r="46" spans="5:18" ht="15" customHeight="1" x14ac:dyDescent="0.25">
      <c r="E46" s="237"/>
      <c r="F46" s="237"/>
      <c r="G46" s="144">
        <v>38876</v>
      </c>
      <c r="H46" s="144">
        <v>33008</v>
      </c>
      <c r="I46" s="144">
        <v>33008</v>
      </c>
      <c r="J46" s="144">
        <v>33008</v>
      </c>
      <c r="K46" s="144">
        <v>33008</v>
      </c>
      <c r="L46" s="144">
        <v>35774</v>
      </c>
      <c r="M46" s="144">
        <v>41488</v>
      </c>
      <c r="N46" s="144">
        <v>36598</v>
      </c>
      <c r="O46" s="144">
        <v>36598</v>
      </c>
      <c r="P46" s="144">
        <v>36598</v>
      </c>
      <c r="Q46" s="144">
        <v>36598</v>
      </c>
      <c r="R46" s="144">
        <v>54870</v>
      </c>
    </row>
    <row r="47" spans="5:18" x14ac:dyDescent="0.25">
      <c r="E47" s="237">
        <v>17</v>
      </c>
      <c r="F47" s="237" t="s">
        <v>132</v>
      </c>
      <c r="G47" s="225">
        <v>40634</v>
      </c>
      <c r="H47" s="225">
        <v>40664</v>
      </c>
      <c r="I47" s="225">
        <v>40695</v>
      </c>
      <c r="J47" s="225">
        <v>40725</v>
      </c>
      <c r="K47" s="225">
        <v>40756</v>
      </c>
      <c r="L47" s="225">
        <v>40787</v>
      </c>
      <c r="M47" s="225">
        <v>40817</v>
      </c>
      <c r="N47" s="225">
        <v>40848</v>
      </c>
      <c r="O47" s="225">
        <v>40878</v>
      </c>
      <c r="P47" s="225">
        <v>40909</v>
      </c>
      <c r="Q47" s="225">
        <v>40940</v>
      </c>
      <c r="R47" s="225">
        <v>40969</v>
      </c>
    </row>
    <row r="48" spans="5:18" ht="15" customHeight="1" x14ac:dyDescent="0.25">
      <c r="E48" s="237"/>
      <c r="F48" s="237"/>
      <c r="G48" s="144">
        <v>41140</v>
      </c>
      <c r="H48" s="144">
        <v>38112</v>
      </c>
      <c r="I48" s="144">
        <v>38112</v>
      </c>
      <c r="J48" s="144">
        <v>39260</v>
      </c>
      <c r="K48" s="144">
        <v>39260</v>
      </c>
      <c r="L48" s="144">
        <v>39260</v>
      </c>
      <c r="M48" s="144">
        <v>41080</v>
      </c>
      <c r="N48" s="144">
        <v>41080</v>
      </c>
      <c r="O48" s="144">
        <v>46540</v>
      </c>
      <c r="P48" s="144">
        <v>41080</v>
      </c>
      <c r="Q48" s="144">
        <v>41080</v>
      </c>
      <c r="R48" s="144">
        <v>41080</v>
      </c>
    </row>
    <row r="49" spans="5:18" x14ac:dyDescent="0.25">
      <c r="E49" s="237">
        <v>18</v>
      </c>
      <c r="F49" s="237" t="s">
        <v>133</v>
      </c>
      <c r="G49" s="225">
        <v>41000</v>
      </c>
      <c r="H49" s="225">
        <v>41030</v>
      </c>
      <c r="I49" s="225">
        <v>41061</v>
      </c>
      <c r="J49" s="225">
        <v>41091</v>
      </c>
      <c r="K49" s="225">
        <v>41122</v>
      </c>
      <c r="L49" s="225">
        <v>41153</v>
      </c>
      <c r="M49" s="225">
        <v>41183</v>
      </c>
      <c r="N49" s="225">
        <v>41214</v>
      </c>
      <c r="O49" s="225">
        <v>41244</v>
      </c>
      <c r="P49" s="225">
        <v>41275</v>
      </c>
      <c r="Q49" s="225">
        <v>41306</v>
      </c>
      <c r="R49" s="225">
        <v>41334</v>
      </c>
    </row>
    <row r="50" spans="5:18" ht="15" customHeight="1" x14ac:dyDescent="0.25">
      <c r="E50" s="237"/>
      <c r="F50" s="237"/>
      <c r="G50" s="144">
        <v>42900</v>
      </c>
      <c r="H50" s="144">
        <v>42900</v>
      </c>
      <c r="I50" s="144">
        <v>48360</v>
      </c>
      <c r="J50" s="144">
        <v>44187</v>
      </c>
      <c r="K50" s="144">
        <v>44187</v>
      </c>
      <c r="L50" s="144">
        <v>44187</v>
      </c>
      <c r="M50" s="144">
        <v>46062</v>
      </c>
      <c r="N50" s="144">
        <v>51687</v>
      </c>
      <c r="O50" s="144">
        <v>46062</v>
      </c>
      <c r="P50" s="144">
        <v>46062</v>
      </c>
      <c r="Q50" s="144">
        <v>46062</v>
      </c>
      <c r="R50" s="144">
        <v>46062</v>
      </c>
    </row>
    <row r="51" spans="5:18" x14ac:dyDescent="0.25">
      <c r="E51" s="237">
        <v>19</v>
      </c>
      <c r="F51" s="237" t="s">
        <v>134</v>
      </c>
      <c r="G51" s="225">
        <v>41365</v>
      </c>
      <c r="H51" s="225">
        <v>41395</v>
      </c>
      <c r="I51" s="225">
        <v>41426</v>
      </c>
      <c r="J51" s="225">
        <v>41456</v>
      </c>
      <c r="K51" s="225">
        <v>41487</v>
      </c>
      <c r="L51" s="225">
        <v>41518</v>
      </c>
      <c r="M51" s="225">
        <v>41548</v>
      </c>
      <c r="N51" s="225">
        <v>41579</v>
      </c>
      <c r="O51" s="225">
        <v>41609</v>
      </c>
      <c r="P51" s="225">
        <v>41640</v>
      </c>
      <c r="Q51" s="225">
        <v>41671</v>
      </c>
      <c r="R51" s="225">
        <v>41699</v>
      </c>
    </row>
    <row r="52" spans="5:18" ht="15" customHeight="1" x14ac:dyDescent="0.25">
      <c r="E52" s="237"/>
      <c r="F52" s="237"/>
      <c r="G52" s="144">
        <v>46062</v>
      </c>
      <c r="H52" s="144">
        <v>56772</v>
      </c>
      <c r="I52" s="144">
        <v>48204</v>
      </c>
      <c r="J52" s="144">
        <v>49662</v>
      </c>
      <c r="K52" s="144">
        <v>49662</v>
      </c>
      <c r="L52" s="144">
        <v>57939</v>
      </c>
      <c r="M52" s="144">
        <v>52421</v>
      </c>
      <c r="N52" s="144">
        <v>52421</v>
      </c>
      <c r="O52" s="144">
        <v>52421</v>
      </c>
      <c r="P52" s="144">
        <v>52421</v>
      </c>
      <c r="Q52" s="144">
        <v>52421</v>
      </c>
      <c r="R52" s="144">
        <v>52421</v>
      </c>
    </row>
    <row r="53" spans="5:18" x14ac:dyDescent="0.25">
      <c r="E53" s="237">
        <v>20</v>
      </c>
      <c r="F53" s="237" t="s">
        <v>135</v>
      </c>
      <c r="G53" s="225">
        <v>41730</v>
      </c>
      <c r="H53" s="225">
        <v>41760</v>
      </c>
      <c r="I53" s="225">
        <v>41791</v>
      </c>
      <c r="J53" s="225">
        <v>41821</v>
      </c>
      <c r="K53" s="225">
        <v>41852</v>
      </c>
      <c r="L53" s="225">
        <v>41883</v>
      </c>
      <c r="M53" s="227">
        <v>41913</v>
      </c>
      <c r="N53" s="225">
        <v>41944</v>
      </c>
      <c r="O53" s="225">
        <v>41974</v>
      </c>
      <c r="P53" s="225">
        <v>42005</v>
      </c>
      <c r="Q53" s="225">
        <v>42036</v>
      </c>
      <c r="R53" s="225">
        <v>42064</v>
      </c>
    </row>
    <row r="54" spans="5:18" ht="15" customHeight="1" x14ac:dyDescent="0.25">
      <c r="E54" s="237"/>
      <c r="F54" s="237"/>
      <c r="G54" s="144">
        <v>63457</v>
      </c>
      <c r="H54" s="144">
        <v>55180</v>
      </c>
      <c r="I54" s="144">
        <v>55180</v>
      </c>
      <c r="J54" s="144">
        <v>56840</v>
      </c>
      <c r="K54" s="144">
        <v>56840</v>
      </c>
      <c r="L54" s="144">
        <v>58829</v>
      </c>
      <c r="M54" s="144">
        <v>58829</v>
      </c>
      <c r="N54" s="144">
        <v>62807</v>
      </c>
      <c r="O54" s="144">
        <v>58829</v>
      </c>
      <c r="P54" s="144">
        <v>58829</v>
      </c>
      <c r="Q54" s="144">
        <v>29415</v>
      </c>
      <c r="R54" s="144">
        <v>63031</v>
      </c>
    </row>
    <row r="55" spans="5:18" x14ac:dyDescent="0.25">
      <c r="E55" s="237">
        <v>21</v>
      </c>
      <c r="F55" s="237" t="s">
        <v>137</v>
      </c>
      <c r="G55" s="225">
        <v>42095</v>
      </c>
      <c r="H55" s="225">
        <v>42125</v>
      </c>
      <c r="I55" s="225">
        <v>42156</v>
      </c>
      <c r="J55" s="225">
        <v>42186</v>
      </c>
      <c r="K55" s="225">
        <v>42217</v>
      </c>
      <c r="L55" s="225">
        <v>42248</v>
      </c>
      <c r="M55" s="225">
        <v>42278</v>
      </c>
      <c r="N55" s="225">
        <v>42309</v>
      </c>
      <c r="O55" s="225">
        <v>42339</v>
      </c>
      <c r="P55" s="225">
        <v>42370</v>
      </c>
      <c r="Q55" s="225">
        <v>42401</v>
      </c>
      <c r="R55" s="225">
        <v>42430</v>
      </c>
    </row>
    <row r="56" spans="5:18" ht="15" customHeight="1" x14ac:dyDescent="0.25">
      <c r="E56" s="237"/>
      <c r="F56" s="237"/>
      <c r="G56" s="144">
        <v>64921</v>
      </c>
      <c r="H56" s="144">
        <v>60535</v>
      </c>
      <c r="I56" s="144">
        <v>60535</v>
      </c>
      <c r="J56" s="144">
        <v>62366</v>
      </c>
      <c r="K56" s="144">
        <v>62366</v>
      </c>
      <c r="L56" s="144">
        <v>64123</v>
      </c>
      <c r="M56" s="144">
        <v>67637</v>
      </c>
      <c r="N56" s="144">
        <v>64123</v>
      </c>
      <c r="O56" s="144">
        <v>65263</v>
      </c>
      <c r="P56" s="144">
        <v>65203</v>
      </c>
      <c r="Q56" s="144">
        <v>65323</v>
      </c>
      <c r="R56" s="144">
        <v>65323</v>
      </c>
    </row>
    <row r="57" spans="5:18" x14ac:dyDescent="0.25">
      <c r="E57" s="237">
        <v>22</v>
      </c>
      <c r="F57" s="237" t="s">
        <v>138</v>
      </c>
      <c r="G57" s="225">
        <v>42461</v>
      </c>
      <c r="H57" s="225">
        <v>42491</v>
      </c>
      <c r="I57" s="225">
        <v>42522</v>
      </c>
      <c r="J57" s="225">
        <v>42552</v>
      </c>
      <c r="K57" s="225">
        <v>42583</v>
      </c>
      <c r="L57" s="225">
        <v>42614</v>
      </c>
      <c r="M57" s="225">
        <v>42644</v>
      </c>
      <c r="N57" s="225">
        <v>42675</v>
      </c>
      <c r="O57" s="225">
        <v>42705</v>
      </c>
      <c r="P57" s="225">
        <v>42736</v>
      </c>
      <c r="Q57" s="225">
        <v>42767</v>
      </c>
      <c r="R57" s="225">
        <v>42795</v>
      </c>
    </row>
    <row r="58" spans="5:18" ht="15" customHeight="1" x14ac:dyDescent="0.25">
      <c r="E58" s="237"/>
      <c r="F58" s="237"/>
      <c r="G58" s="144">
        <v>66240</v>
      </c>
      <c r="H58" s="144">
        <v>72291</v>
      </c>
      <c r="I58" s="144">
        <v>67200</v>
      </c>
      <c r="J58" s="144">
        <v>69060</v>
      </c>
      <c r="K58" s="144">
        <v>70889</v>
      </c>
      <c r="L58" s="144">
        <v>73628</v>
      </c>
      <c r="M58" s="144">
        <v>73688</v>
      </c>
      <c r="N58" s="144">
        <v>77272</v>
      </c>
      <c r="O58" s="144">
        <v>83704</v>
      </c>
      <c r="P58" s="144">
        <v>74866</v>
      </c>
      <c r="Q58" s="144">
        <v>74866</v>
      </c>
      <c r="R58" s="144">
        <v>78739</v>
      </c>
    </row>
    <row r="59" spans="5:18" x14ac:dyDescent="0.25">
      <c r="E59" s="237">
        <v>23</v>
      </c>
      <c r="F59" s="237" t="s">
        <v>139</v>
      </c>
      <c r="G59" s="225">
        <v>42826</v>
      </c>
      <c r="H59" s="225">
        <v>42856</v>
      </c>
      <c r="I59" s="225">
        <v>42887</v>
      </c>
      <c r="J59" s="225">
        <v>42917</v>
      </c>
      <c r="K59" s="225">
        <v>42948</v>
      </c>
      <c r="L59" s="225">
        <v>42979</v>
      </c>
      <c r="M59" s="225">
        <v>43009</v>
      </c>
      <c r="N59" s="225">
        <v>43040</v>
      </c>
      <c r="O59" s="225">
        <v>43070</v>
      </c>
      <c r="P59" s="225">
        <v>43101</v>
      </c>
      <c r="Q59" s="225">
        <v>43132</v>
      </c>
      <c r="R59" s="225">
        <v>43160</v>
      </c>
    </row>
    <row r="60" spans="5:18" ht="15" customHeight="1" x14ac:dyDescent="0.25">
      <c r="E60" s="237"/>
      <c r="F60" s="237"/>
      <c r="G60" s="144">
        <v>76157</v>
      </c>
      <c r="H60" s="144">
        <v>76157</v>
      </c>
      <c r="I60" s="144">
        <v>186250</v>
      </c>
      <c r="J60" s="144">
        <v>89232</v>
      </c>
      <c r="K60" s="144">
        <v>89232</v>
      </c>
      <c r="L60" s="144">
        <v>91806</v>
      </c>
      <c r="M60" s="144">
        <v>90090</v>
      </c>
      <c r="N60" s="144">
        <v>90090</v>
      </c>
      <c r="O60" s="144">
        <v>90090</v>
      </c>
      <c r="P60" s="144">
        <v>90090</v>
      </c>
      <c r="Q60" s="144">
        <v>90090</v>
      </c>
      <c r="R60" s="144">
        <v>95238</v>
      </c>
    </row>
    <row r="61" spans="5:18" x14ac:dyDescent="0.25">
      <c r="E61" s="237">
        <v>24</v>
      </c>
      <c r="F61" s="237" t="s">
        <v>140</v>
      </c>
      <c r="G61" s="225">
        <v>43191</v>
      </c>
      <c r="H61" s="225">
        <v>43221</v>
      </c>
      <c r="I61" s="225">
        <v>43252</v>
      </c>
      <c r="J61" s="225">
        <v>43282</v>
      </c>
      <c r="K61" s="225">
        <v>43313</v>
      </c>
      <c r="L61" s="225">
        <v>43344</v>
      </c>
      <c r="M61" s="225">
        <v>43374</v>
      </c>
      <c r="N61" s="225">
        <v>43405</v>
      </c>
      <c r="O61" s="225">
        <v>43435</v>
      </c>
      <c r="P61" s="225">
        <v>43466</v>
      </c>
      <c r="Q61" s="225">
        <v>43497</v>
      </c>
      <c r="R61" s="225">
        <v>43525</v>
      </c>
    </row>
    <row r="62" spans="5:18" ht="15" customHeight="1" x14ac:dyDescent="0.25">
      <c r="E62" s="237"/>
      <c r="F62" s="237"/>
      <c r="G62" s="144">
        <v>91806</v>
      </c>
      <c r="H62" s="144">
        <v>91806</v>
      </c>
      <c r="I62" s="144">
        <v>91806</v>
      </c>
      <c r="J62" s="144">
        <v>94588</v>
      </c>
      <c r="K62" s="144">
        <v>98124</v>
      </c>
      <c r="L62" s="144">
        <v>96356</v>
      </c>
      <c r="M62" s="144">
        <v>96356</v>
      </c>
      <c r="N62" s="144">
        <v>96356</v>
      </c>
      <c r="O62" s="144">
        <v>96356</v>
      </c>
      <c r="P62" s="144">
        <v>96356</v>
      </c>
      <c r="Q62" s="144">
        <v>96356</v>
      </c>
      <c r="R62" s="144">
        <v>104312</v>
      </c>
    </row>
    <row r="63" spans="5:18" x14ac:dyDescent="0.25">
      <c r="E63" s="237">
        <v>25</v>
      </c>
      <c r="F63" s="237" t="s">
        <v>141</v>
      </c>
      <c r="G63" s="225">
        <v>43556</v>
      </c>
      <c r="H63" s="225">
        <v>43586</v>
      </c>
      <c r="I63" s="225">
        <v>43617</v>
      </c>
      <c r="J63" s="225">
        <v>43647</v>
      </c>
      <c r="K63" s="225">
        <v>43678</v>
      </c>
      <c r="L63" s="225">
        <v>43709</v>
      </c>
      <c r="M63" s="225">
        <v>43739</v>
      </c>
      <c r="N63" s="225">
        <v>43770</v>
      </c>
      <c r="O63" s="225">
        <v>43800</v>
      </c>
      <c r="P63" s="225">
        <v>43831</v>
      </c>
      <c r="Q63" s="225">
        <v>43862</v>
      </c>
      <c r="R63" s="225">
        <v>43891</v>
      </c>
    </row>
    <row r="64" spans="5:18" ht="15" customHeight="1" x14ac:dyDescent="0.25">
      <c r="E64" s="237"/>
      <c r="F64" s="237"/>
      <c r="G64" s="144">
        <v>99008</v>
      </c>
      <c r="H64" s="144">
        <v>99008</v>
      </c>
      <c r="I64" s="144">
        <v>99008</v>
      </c>
      <c r="J64" s="144">
        <v>65047</v>
      </c>
      <c r="K64" s="144">
        <v>102032</v>
      </c>
      <c r="L64" s="144">
        <v>114046</v>
      </c>
      <c r="M64" s="144">
        <v>106587</v>
      </c>
      <c r="N64" s="144">
        <v>106587</v>
      </c>
      <c r="O64" s="144">
        <v>106587</v>
      </c>
      <c r="P64" s="144">
        <v>106587</v>
      </c>
      <c r="Q64" s="144">
        <v>106587</v>
      </c>
      <c r="R64" s="144">
        <v>106587</v>
      </c>
    </row>
    <row r="65" spans="5:18" x14ac:dyDescent="0.25">
      <c r="E65" s="237">
        <v>26</v>
      </c>
      <c r="F65" s="237" t="s">
        <v>142</v>
      </c>
      <c r="G65" s="225">
        <v>43922</v>
      </c>
      <c r="H65" s="225">
        <v>43952</v>
      </c>
      <c r="I65" s="225">
        <v>43983</v>
      </c>
      <c r="J65" s="225">
        <v>44013</v>
      </c>
      <c r="K65" s="225">
        <v>44044</v>
      </c>
      <c r="L65" s="225">
        <v>44075</v>
      </c>
      <c r="M65" s="225">
        <v>44105</v>
      </c>
      <c r="N65" s="225">
        <v>44136</v>
      </c>
      <c r="O65" s="225">
        <v>44166</v>
      </c>
      <c r="P65" s="225">
        <v>44197</v>
      </c>
      <c r="Q65" s="225">
        <v>44228</v>
      </c>
      <c r="R65" s="225">
        <v>44256</v>
      </c>
    </row>
    <row r="66" spans="5:18" x14ac:dyDescent="0.25">
      <c r="E66" s="237"/>
      <c r="F66" s="237"/>
      <c r="G66" s="144">
        <v>106587</v>
      </c>
      <c r="H66" s="144">
        <v>106587</v>
      </c>
      <c r="I66" s="144">
        <v>106587</v>
      </c>
      <c r="J66" s="144">
        <v>109746</v>
      </c>
      <c r="K66" s="144">
        <v>109746</v>
      </c>
      <c r="L66" s="144">
        <v>109746</v>
      </c>
      <c r="M66" s="144">
        <v>109746</v>
      </c>
      <c r="N66" s="144">
        <v>109746</v>
      </c>
      <c r="O66" s="144">
        <v>109746</v>
      </c>
      <c r="P66" s="144">
        <v>109746</v>
      </c>
      <c r="Q66" s="144">
        <v>109746</v>
      </c>
      <c r="R66" s="144">
        <v>109746</v>
      </c>
    </row>
    <row r="67" spans="5:18" x14ac:dyDescent="0.25">
      <c r="E67" s="237">
        <v>27</v>
      </c>
      <c r="F67" s="237" t="s">
        <v>198</v>
      </c>
      <c r="G67" s="225">
        <v>44287</v>
      </c>
      <c r="H67" s="225">
        <v>44317</v>
      </c>
      <c r="I67" s="225">
        <v>44348</v>
      </c>
      <c r="J67" s="225">
        <v>44378</v>
      </c>
      <c r="K67" s="225">
        <v>44409</v>
      </c>
      <c r="L67" s="225">
        <v>44440</v>
      </c>
      <c r="M67" s="225">
        <v>44470</v>
      </c>
      <c r="N67" s="225">
        <v>44501</v>
      </c>
      <c r="O67" s="225">
        <v>44531</v>
      </c>
      <c r="P67" s="225">
        <v>44562</v>
      </c>
      <c r="Q67" s="225">
        <v>44593</v>
      </c>
      <c r="R67" s="225">
        <v>44621</v>
      </c>
    </row>
    <row r="68" spans="5:18" x14ac:dyDescent="0.25">
      <c r="E68" s="237"/>
      <c r="F68" s="237"/>
      <c r="G68" s="144">
        <v>109746</v>
      </c>
      <c r="H68" s="144"/>
      <c r="I68" s="144"/>
      <c r="J68" s="144"/>
      <c r="K68" s="144"/>
      <c r="L68" s="144"/>
      <c r="M68" s="144"/>
      <c r="N68" s="144"/>
      <c r="O68" s="144"/>
      <c r="P68" s="144"/>
      <c r="Q68" s="144"/>
      <c r="R68" s="144"/>
    </row>
    <row r="69" spans="5:18" x14ac:dyDescent="0.25">
      <c r="E69" s="237">
        <v>28</v>
      </c>
      <c r="F69" s="237" t="s">
        <v>199</v>
      </c>
      <c r="G69" s="225">
        <v>44652</v>
      </c>
      <c r="H69" s="225">
        <v>44682</v>
      </c>
      <c r="I69" s="225">
        <v>44713</v>
      </c>
      <c r="J69" s="225">
        <v>44743</v>
      </c>
      <c r="K69" s="225">
        <v>44774</v>
      </c>
      <c r="L69" s="225">
        <v>44805</v>
      </c>
      <c r="M69" s="225">
        <v>44835</v>
      </c>
      <c r="N69" s="225">
        <v>44866</v>
      </c>
      <c r="O69" s="225">
        <v>44896</v>
      </c>
      <c r="P69" s="225">
        <v>44927</v>
      </c>
      <c r="Q69" s="225">
        <v>44958</v>
      </c>
      <c r="R69" s="225">
        <v>44986</v>
      </c>
    </row>
    <row r="70" spans="5:18" x14ac:dyDescent="0.25">
      <c r="E70" s="237"/>
      <c r="F70" s="237"/>
      <c r="G70" s="144"/>
      <c r="H70" s="144"/>
      <c r="I70" s="144"/>
      <c r="J70" s="144"/>
      <c r="K70" s="144"/>
      <c r="L70" s="144"/>
      <c r="M70" s="144"/>
      <c r="N70" s="144"/>
      <c r="O70" s="144"/>
      <c r="P70" s="144"/>
      <c r="Q70" s="144"/>
      <c r="R70" s="144"/>
    </row>
    <row r="71" spans="5:18" x14ac:dyDescent="0.25">
      <c r="E71" s="237">
        <v>29</v>
      </c>
      <c r="F71" s="237" t="s">
        <v>209</v>
      </c>
      <c r="G71" s="225">
        <v>45017</v>
      </c>
      <c r="H71" s="225">
        <v>45047</v>
      </c>
      <c r="I71" s="225">
        <v>45078</v>
      </c>
      <c r="J71" s="225">
        <v>45108</v>
      </c>
      <c r="K71" s="225">
        <v>45139</v>
      </c>
      <c r="L71" s="225">
        <v>45170</v>
      </c>
      <c r="M71" s="225">
        <v>45200</v>
      </c>
      <c r="N71" s="225">
        <v>45231</v>
      </c>
      <c r="O71" s="225">
        <v>45261</v>
      </c>
      <c r="P71" s="225">
        <v>45292</v>
      </c>
      <c r="Q71" s="225">
        <v>45323</v>
      </c>
      <c r="R71" s="225">
        <v>45352</v>
      </c>
    </row>
    <row r="72" spans="5:18" x14ac:dyDescent="0.25">
      <c r="E72" s="237"/>
      <c r="F72" s="237"/>
      <c r="G72" s="144"/>
      <c r="H72" s="144"/>
      <c r="I72" s="144"/>
      <c r="J72" s="144"/>
      <c r="K72" s="144"/>
      <c r="L72" s="144"/>
      <c r="M72" s="144"/>
      <c r="N72" s="144"/>
      <c r="O72" s="144"/>
      <c r="P72" s="144"/>
      <c r="Q72" s="144"/>
      <c r="R72" s="144"/>
    </row>
  </sheetData>
  <sheetProtection algorithmName="SHA-512" hashValue="NBvr6c6km+PhsVct8gxikqBaxqSTJZKGzgnuQSzKW0bU5d6MBzhIgMkjC958Jr7gAZbDdDbfjTREFt6RlW1Icw==" saltValue="5LQl1re2BYN9OdbHsLr7IA==" spinCount="100000" sheet="1" objects="1" scenarios="1" selectLockedCells="1"/>
  <mergeCells count="80">
    <mergeCell ref="E51:E52"/>
    <mergeCell ref="E45:E46"/>
    <mergeCell ref="J10:K11"/>
    <mergeCell ref="F55:F56"/>
    <mergeCell ref="F63:F64"/>
    <mergeCell ref="F59:F60"/>
    <mergeCell ref="F61:F62"/>
    <mergeCell ref="F51:F52"/>
    <mergeCell ref="E39:E40"/>
    <mergeCell ref="E41:E42"/>
    <mergeCell ref="E47:E48"/>
    <mergeCell ref="E43:E44"/>
    <mergeCell ref="F49:F50"/>
    <mergeCell ref="F39:F40"/>
    <mergeCell ref="F41:F42"/>
    <mergeCell ref="F45:F46"/>
    <mergeCell ref="F43:F44"/>
    <mergeCell ref="E49:E50"/>
    <mergeCell ref="F47:F48"/>
    <mergeCell ref="E15:E16"/>
    <mergeCell ref="G16:M16"/>
    <mergeCell ref="F25:F26"/>
    <mergeCell ref="E23:E24"/>
    <mergeCell ref="E25:E26"/>
    <mergeCell ref="F15:F16"/>
    <mergeCell ref="F23:F24"/>
    <mergeCell ref="E17:E18"/>
    <mergeCell ref="E19:E20"/>
    <mergeCell ref="E21:E22"/>
    <mergeCell ref="F17:F18"/>
    <mergeCell ref="F19:F20"/>
    <mergeCell ref="F21:F22"/>
    <mergeCell ref="E37:E38"/>
    <mergeCell ref="F37:F38"/>
    <mergeCell ref="F29:F30"/>
    <mergeCell ref="E27:E28"/>
    <mergeCell ref="F31:F32"/>
    <mergeCell ref="F33:F34"/>
    <mergeCell ref="E29:E30"/>
    <mergeCell ref="F27:F28"/>
    <mergeCell ref="E31:E32"/>
    <mergeCell ref="F35:F36"/>
    <mergeCell ref="E35:E36"/>
    <mergeCell ref="E33:E34"/>
    <mergeCell ref="E2:R2"/>
    <mergeCell ref="E3:R3"/>
    <mergeCell ref="E5:R5"/>
    <mergeCell ref="E7:N7"/>
    <mergeCell ref="O7:R7"/>
    <mergeCell ref="E8:H8"/>
    <mergeCell ref="E9:H9"/>
    <mergeCell ref="E10:H10"/>
    <mergeCell ref="F13:F14"/>
    <mergeCell ref="E11:H11"/>
    <mergeCell ref="G13:R13"/>
    <mergeCell ref="E13:E14"/>
    <mergeCell ref="O8:R10"/>
    <mergeCell ref="J9:M9"/>
    <mergeCell ref="N10:N11"/>
    <mergeCell ref="O11:R11"/>
    <mergeCell ref="K8:N8"/>
    <mergeCell ref="G14:N14"/>
    <mergeCell ref="L10:L11"/>
    <mergeCell ref="M10:M11"/>
    <mergeCell ref="E71:E72"/>
    <mergeCell ref="F71:F72"/>
    <mergeCell ref="E67:E68"/>
    <mergeCell ref="F67:F68"/>
    <mergeCell ref="E69:E70"/>
    <mergeCell ref="F69:F70"/>
    <mergeCell ref="F65:F66"/>
    <mergeCell ref="E53:E54"/>
    <mergeCell ref="E65:E66"/>
    <mergeCell ref="E55:E56"/>
    <mergeCell ref="E61:E62"/>
    <mergeCell ref="E63:E64"/>
    <mergeCell ref="F53:F54"/>
    <mergeCell ref="E57:E58"/>
    <mergeCell ref="E59:E60"/>
    <mergeCell ref="F57:F58"/>
  </mergeCells>
  <phoneticPr fontId="24" type="noConversion"/>
  <printOptions horizontalCentered="1"/>
  <pageMargins left="0.51181102362204722" right="0.51181102362204722" top="0.35433070866141736" bottom="0.23622047244094491" header="0.23622047244094491" footer="0.23622047244094491"/>
  <pageSetup scale="75" fitToHeight="2" orientation="landscape" r:id="rId1"/>
  <headerFooter>
    <oddFooter>&amp;LNote:  This working sheet will provide a rough idea of New Pension, Approximate amount of Differencial contribution and Interest etc., based on Inpt and other parameters.</oddFooter>
  </headerFooter>
  <rowBreaks count="1" manualBreakCount="1">
    <brk id="40" max="16383" man="1"/>
  </row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7" tint="-0.249977111117893"/>
    <pageSetUpPr fitToPage="1"/>
  </sheetPr>
  <dimension ref="A1:AC130"/>
  <sheetViews>
    <sheetView view="pageBreakPreview" zoomScaleSheetLayoutView="100" workbookViewId="0">
      <selection activeCell="A11" sqref="A11:E11"/>
    </sheetView>
  </sheetViews>
  <sheetFormatPr defaultColWidth="4.7109375" defaultRowHeight="15" x14ac:dyDescent="0.25"/>
  <cols>
    <col min="1" max="1" width="5.5703125" style="1" bestFit="1" customWidth="1"/>
    <col min="2" max="2" width="4.7109375" style="1"/>
    <col min="3" max="3" width="9" style="1" customWidth="1"/>
    <col min="4" max="4" width="3.140625" style="1" bestFit="1" customWidth="1"/>
    <col min="5" max="5" width="5" style="1" customWidth="1"/>
    <col min="6" max="6" width="7.5703125" style="1" customWidth="1"/>
    <col min="7" max="10" width="4.7109375" style="1"/>
    <col min="11" max="11" width="8.5703125" style="1" customWidth="1"/>
    <col min="12" max="12" width="5" style="1" bestFit="1" customWidth="1"/>
    <col min="13" max="13" width="12.140625" style="1" customWidth="1"/>
    <col min="14" max="14" width="11.7109375" style="1" bestFit="1" customWidth="1"/>
    <col min="15" max="17" width="4.7109375" style="1"/>
    <col min="18" max="18" width="12" style="1" customWidth="1"/>
    <col min="19" max="19" width="11.7109375" style="1" customWidth="1"/>
    <col min="20" max="20" width="4.7109375" style="1"/>
    <col min="21" max="21" width="5.7109375" style="1" customWidth="1"/>
    <col min="22" max="23" width="11.7109375" style="1" bestFit="1" customWidth="1"/>
    <col min="24" max="24" width="5.7109375" style="1" bestFit="1" customWidth="1"/>
    <col min="25" max="25" width="12" style="1" bestFit="1" customWidth="1"/>
    <col min="26" max="27" width="4.7109375" style="1"/>
    <col min="28" max="28" width="7.42578125" style="1" bestFit="1" customWidth="1"/>
    <col min="29" max="16384" width="4.7109375" style="1"/>
  </cols>
  <sheetData>
    <row r="1" spans="1:28" ht="21" customHeight="1" x14ac:dyDescent="0.25">
      <c r="A1" s="292" t="s">
        <v>206</v>
      </c>
      <c r="B1" s="293"/>
      <c r="C1" s="293"/>
      <c r="D1" s="293"/>
      <c r="E1" s="293"/>
      <c r="F1" s="293"/>
      <c r="G1" s="293"/>
      <c r="H1" s="293"/>
      <c r="I1" s="293"/>
      <c r="J1" s="293"/>
      <c r="K1" s="293"/>
      <c r="L1" s="293"/>
      <c r="M1" s="293"/>
      <c r="N1" s="293"/>
      <c r="O1" s="293"/>
      <c r="P1" s="293"/>
      <c r="Q1" s="293"/>
      <c r="R1" s="293"/>
      <c r="S1" s="293"/>
      <c r="T1" s="293"/>
      <c r="U1" s="293"/>
      <c r="V1" s="293"/>
      <c r="W1" s="293"/>
      <c r="X1" s="293"/>
      <c r="Y1" s="293"/>
      <c r="Z1" s="293"/>
      <c r="AA1" s="293"/>
      <c r="AB1" s="293"/>
    </row>
    <row r="2" spans="1:28" ht="16.5" customHeight="1" thickBot="1" x14ac:dyDescent="0.3">
      <c r="A2" s="294" t="s">
        <v>156</v>
      </c>
      <c r="B2" s="295"/>
      <c r="C2" s="295"/>
      <c r="D2" s="295"/>
      <c r="E2" s="295"/>
      <c r="F2" s="295"/>
      <c r="G2" s="295"/>
      <c r="H2" s="295"/>
      <c r="I2" s="295"/>
      <c r="J2" s="295"/>
      <c r="K2" s="295"/>
      <c r="L2" s="295"/>
      <c r="M2" s="295"/>
      <c r="N2" s="295"/>
      <c r="O2" s="295"/>
      <c r="P2" s="295"/>
      <c r="Q2" s="295"/>
      <c r="R2" s="295"/>
      <c r="S2" s="295"/>
      <c r="T2" s="295"/>
      <c r="U2" s="295"/>
      <c r="V2" s="295"/>
      <c r="W2" s="295"/>
      <c r="X2" s="295"/>
      <c r="Y2" s="295"/>
      <c r="Z2" s="295"/>
      <c r="AA2" s="295"/>
      <c r="AB2" s="295"/>
    </row>
    <row r="3" spans="1:28" x14ac:dyDescent="0.25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</row>
    <row r="4" spans="1:28" s="38" customFormat="1" ht="18.75" x14ac:dyDescent="0.3">
      <c r="A4" s="296" t="s">
        <v>173</v>
      </c>
      <c r="B4" s="297"/>
      <c r="C4" s="297"/>
      <c r="D4" s="297"/>
      <c r="E4" s="297"/>
      <c r="F4" s="297"/>
      <c r="G4" s="297"/>
      <c r="H4" s="297"/>
      <c r="I4" s="297"/>
      <c r="J4" s="297"/>
      <c r="K4" s="297"/>
      <c r="L4" s="297"/>
      <c r="M4" s="297"/>
      <c r="N4" s="297"/>
      <c r="O4" s="297"/>
      <c r="P4" s="297"/>
      <c r="Q4" s="297"/>
      <c r="R4" s="297"/>
      <c r="S4" s="297"/>
      <c r="T4" s="297"/>
      <c r="U4" s="297"/>
      <c r="V4" s="297"/>
      <c r="W4" s="297"/>
      <c r="X4" s="297"/>
      <c r="Y4" s="297"/>
      <c r="Z4" s="297"/>
      <c r="AA4" s="297"/>
      <c r="AB4" s="297"/>
    </row>
    <row r="5" spans="1:28" s="14" customFormat="1" x14ac:dyDescent="0.25">
      <c r="A5" s="30"/>
      <c r="B5" s="30"/>
      <c r="C5" s="15"/>
      <c r="D5" s="15"/>
      <c r="E5" s="15"/>
      <c r="F5" s="15"/>
      <c r="G5" s="15"/>
      <c r="H5" s="15"/>
      <c r="I5" s="15"/>
      <c r="J5" s="15"/>
      <c r="K5" s="15"/>
      <c r="L5" s="15"/>
      <c r="M5" s="15"/>
      <c r="N5" s="15"/>
    </row>
    <row r="6" spans="1:28" ht="15" customHeight="1" x14ac:dyDescent="0.25">
      <c r="A6" s="326" t="s">
        <v>153</v>
      </c>
      <c r="B6" s="327"/>
      <c r="C6" s="328" t="str">
        <f>Input!K8</f>
        <v>VARRINDER KAUR RAINA</v>
      </c>
      <c r="D6" s="329"/>
      <c r="E6" s="329"/>
      <c r="F6" s="329"/>
      <c r="G6" s="330"/>
      <c r="I6" s="269" t="s">
        <v>2</v>
      </c>
      <c r="J6" s="269"/>
      <c r="K6" s="217" t="s">
        <v>3</v>
      </c>
      <c r="L6" s="217" t="s">
        <v>4</v>
      </c>
      <c r="N6" s="269" t="s">
        <v>183</v>
      </c>
      <c r="O6" s="269"/>
      <c r="P6" s="269"/>
      <c r="Q6" s="269"/>
      <c r="R6" s="269"/>
      <c r="S6" s="269"/>
      <c r="T6" s="269"/>
      <c r="U6" s="269"/>
      <c r="V6" s="269"/>
      <c r="W6" s="269"/>
      <c r="X6" s="269"/>
      <c r="Y6" s="269"/>
      <c r="Z6" s="269"/>
      <c r="AA6" s="269"/>
      <c r="AB6" s="269"/>
    </row>
    <row r="7" spans="1:28" ht="15" customHeight="1" x14ac:dyDescent="0.25">
      <c r="A7" s="342" t="s">
        <v>8</v>
      </c>
      <c r="B7" s="342"/>
      <c r="C7" s="342"/>
      <c r="D7" s="342"/>
      <c r="E7" s="342"/>
      <c r="F7" s="342"/>
      <c r="G7" s="342"/>
      <c r="I7" s="299">
        <f>YEAR(Input!I8)</f>
        <v>1961</v>
      </c>
      <c r="J7" s="299"/>
      <c r="K7" s="87">
        <f>MONTH(Input!I8)</f>
        <v>4</v>
      </c>
      <c r="L7" s="87">
        <f>DAY(Input!I8)</f>
        <v>15</v>
      </c>
      <c r="N7" s="341" t="s">
        <v>5</v>
      </c>
      <c r="O7" s="341"/>
      <c r="P7" s="341"/>
      <c r="Q7" s="341"/>
      <c r="R7" s="341"/>
      <c r="S7" s="341"/>
      <c r="T7" s="341"/>
      <c r="U7" s="341"/>
      <c r="V7" s="269" t="s">
        <v>6</v>
      </c>
      <c r="W7" s="269"/>
      <c r="X7" s="269"/>
      <c r="Y7" s="269" t="s">
        <v>7</v>
      </c>
      <c r="Z7" s="269"/>
      <c r="AA7" s="269"/>
      <c r="AB7" s="269"/>
    </row>
    <row r="8" spans="1:28" ht="15" customHeight="1" x14ac:dyDescent="0.25">
      <c r="A8" s="342" t="s">
        <v>10</v>
      </c>
      <c r="B8" s="342"/>
      <c r="C8" s="342"/>
      <c r="D8" s="342"/>
      <c r="E8" s="342"/>
      <c r="F8" s="342"/>
      <c r="G8" s="342"/>
      <c r="I8" s="299">
        <f>YEAR(Input!I9)</f>
        <v>1980</v>
      </c>
      <c r="J8" s="299"/>
      <c r="K8" s="87">
        <f>MONTH(Input!I9)</f>
        <v>1</v>
      </c>
      <c r="L8" s="87">
        <f>DAY(Input!I9)</f>
        <v>1</v>
      </c>
      <c r="N8" s="267" t="s">
        <v>9</v>
      </c>
      <c r="O8" s="267"/>
      <c r="P8" s="267"/>
      <c r="Q8" s="267"/>
      <c r="R8" s="267"/>
      <c r="S8" s="267"/>
      <c r="T8" s="267"/>
      <c r="U8" s="267"/>
      <c r="V8" s="267">
        <v>80</v>
      </c>
      <c r="W8" s="267"/>
      <c r="X8" s="267"/>
      <c r="Y8" s="267">
        <v>85</v>
      </c>
      <c r="Z8" s="267"/>
      <c r="AA8" s="267"/>
      <c r="AB8" s="267"/>
    </row>
    <row r="9" spans="1:28" ht="15" customHeight="1" x14ac:dyDescent="0.25">
      <c r="A9" s="337" t="s">
        <v>161</v>
      </c>
      <c r="B9" s="337"/>
      <c r="C9" s="337"/>
      <c r="D9" s="337"/>
      <c r="E9" s="337"/>
      <c r="F9" s="338">
        <v>35019</v>
      </c>
      <c r="G9" s="338"/>
      <c r="I9" s="299">
        <f>YEAR(F9)</f>
        <v>1995</v>
      </c>
      <c r="J9" s="299"/>
      <c r="K9" s="87">
        <f>MONTH('Pension Cal'!F9)</f>
        <v>11</v>
      </c>
      <c r="L9" s="87">
        <f>DAY('Pension Cal'!F9)</f>
        <v>16</v>
      </c>
      <c r="N9" s="267" t="s">
        <v>11</v>
      </c>
      <c r="O9" s="267"/>
      <c r="P9" s="267"/>
      <c r="Q9" s="267"/>
      <c r="R9" s="267"/>
      <c r="S9" s="267"/>
      <c r="T9" s="267"/>
      <c r="U9" s="267"/>
      <c r="V9" s="267">
        <v>95</v>
      </c>
      <c r="W9" s="267"/>
      <c r="X9" s="267"/>
      <c r="Y9" s="267">
        <v>105</v>
      </c>
      <c r="Z9" s="267"/>
      <c r="AA9" s="267"/>
      <c r="AB9" s="267"/>
    </row>
    <row r="10" spans="1:28" ht="15" customHeight="1" x14ac:dyDescent="0.25">
      <c r="A10" s="337" t="s">
        <v>180</v>
      </c>
      <c r="B10" s="337"/>
      <c r="C10" s="337"/>
      <c r="D10" s="337"/>
      <c r="E10" s="337"/>
      <c r="F10" s="339">
        <v>39609</v>
      </c>
      <c r="G10" s="340"/>
      <c r="I10" s="299">
        <f>YEAR(F10)</f>
        <v>2008</v>
      </c>
      <c r="J10" s="299"/>
      <c r="K10" s="87">
        <f>MONTH(F10)</f>
        <v>6</v>
      </c>
      <c r="L10" s="87">
        <f>DAY(F10)</f>
        <v>10</v>
      </c>
      <c r="N10" s="267" t="s">
        <v>12</v>
      </c>
      <c r="O10" s="267"/>
      <c r="P10" s="267"/>
      <c r="Q10" s="267"/>
      <c r="R10" s="267"/>
      <c r="S10" s="267"/>
      <c r="T10" s="267"/>
      <c r="U10" s="267"/>
      <c r="V10" s="267">
        <v>120</v>
      </c>
      <c r="W10" s="267"/>
      <c r="X10" s="267"/>
      <c r="Y10" s="267">
        <v>135</v>
      </c>
      <c r="Z10" s="267"/>
      <c r="AA10" s="267"/>
      <c r="AB10" s="267"/>
    </row>
    <row r="11" spans="1:28" ht="15" customHeight="1" x14ac:dyDescent="0.25">
      <c r="A11" s="344" t="s">
        <v>162</v>
      </c>
      <c r="B11" s="345"/>
      <c r="C11" s="345"/>
      <c r="D11" s="345"/>
      <c r="E11" s="346"/>
      <c r="F11" s="339">
        <v>41883</v>
      </c>
      <c r="G11" s="340"/>
      <c r="I11" s="299">
        <f>YEAR(F11)</f>
        <v>2014</v>
      </c>
      <c r="J11" s="299"/>
      <c r="K11" s="87">
        <f>MONTH('Pension Cal'!F11)</f>
        <v>9</v>
      </c>
      <c r="L11" s="87">
        <f>DAY('Pension Cal'!F11)</f>
        <v>1</v>
      </c>
      <c r="N11" s="267" t="s">
        <v>13</v>
      </c>
      <c r="O11" s="267"/>
      <c r="P11" s="267"/>
      <c r="Q11" s="267"/>
      <c r="R11" s="267"/>
      <c r="S11" s="267"/>
      <c r="T11" s="267"/>
      <c r="U11" s="267"/>
      <c r="V11" s="267">
        <v>150</v>
      </c>
      <c r="W11" s="267"/>
      <c r="X11" s="267"/>
      <c r="Y11" s="267">
        <v>170</v>
      </c>
      <c r="Z11" s="267"/>
      <c r="AA11" s="267"/>
      <c r="AB11" s="267"/>
    </row>
    <row r="12" spans="1:28" ht="15" customHeight="1" x14ac:dyDescent="0.25">
      <c r="A12" s="344" t="s">
        <v>196</v>
      </c>
      <c r="B12" s="345"/>
      <c r="C12" s="345"/>
      <c r="D12" s="345"/>
      <c r="E12" s="346"/>
      <c r="F12" s="350">
        <f>DATE(I12,K12,L12)</f>
        <v>43570</v>
      </c>
      <c r="G12" s="351"/>
      <c r="I12" s="348">
        <f>I7+58</f>
        <v>2019</v>
      </c>
      <c r="J12" s="349"/>
      <c r="K12" s="87">
        <f>K7</f>
        <v>4</v>
      </c>
      <c r="L12" s="87">
        <f>L7</f>
        <v>15</v>
      </c>
      <c r="N12" s="347" t="s">
        <v>187</v>
      </c>
      <c r="O12" s="347"/>
      <c r="P12" s="347"/>
      <c r="Q12" s="347"/>
      <c r="R12" s="347"/>
      <c r="S12" s="347"/>
      <c r="T12" s="347"/>
      <c r="U12" s="347"/>
      <c r="V12" s="268">
        <f>IF(Q24=0,0,VLOOKUP(Q24,D58:E86,2,1))</f>
        <v>120</v>
      </c>
      <c r="W12" s="268"/>
      <c r="X12" s="268"/>
      <c r="Y12" s="268">
        <f>IF(Q24=0,0,VLOOKUP(Q24,D58:G86,4,1))</f>
        <v>135</v>
      </c>
      <c r="Z12" s="268"/>
      <c r="AA12" s="268"/>
      <c r="AB12" s="268"/>
    </row>
    <row r="13" spans="1:28" ht="15" customHeight="1" x14ac:dyDescent="0.25">
      <c r="A13" s="343" t="s">
        <v>203</v>
      </c>
      <c r="B13" s="343"/>
      <c r="C13" s="343"/>
      <c r="D13" s="343"/>
      <c r="E13" s="343"/>
      <c r="F13" s="343"/>
      <c r="G13" s="343"/>
      <c r="I13" s="299">
        <f>YEAR(Input!I11)</f>
        <v>2019</v>
      </c>
      <c r="J13" s="299"/>
      <c r="K13" s="87">
        <f>MONTH(Input!I11)</f>
        <v>5</v>
      </c>
      <c r="L13" s="87">
        <f>DAY(Input!I11)</f>
        <v>1</v>
      </c>
      <c r="N13" s="271" t="s">
        <v>184</v>
      </c>
      <c r="O13" s="271"/>
      <c r="P13" s="271"/>
      <c r="Q13" s="271"/>
      <c r="R13" s="271"/>
      <c r="S13" s="271"/>
      <c r="T13" s="271"/>
      <c r="U13" s="271"/>
      <c r="V13" s="271"/>
      <c r="W13" s="271"/>
      <c r="X13" s="271"/>
      <c r="Y13" s="270">
        <f>IF(Input!L10&lt;=2500,V12,Y12)</f>
        <v>135</v>
      </c>
      <c r="Z13" s="270"/>
      <c r="AA13" s="270"/>
      <c r="AB13" s="270"/>
    </row>
    <row r="14" spans="1:28" ht="15" customHeight="1" x14ac:dyDescent="0.25">
      <c r="A14" s="364" t="s">
        <v>207</v>
      </c>
      <c r="B14" s="364"/>
      <c r="C14" s="364"/>
      <c r="D14" s="364"/>
      <c r="E14" s="364"/>
      <c r="F14" s="364"/>
      <c r="G14" s="364"/>
      <c r="I14" s="299">
        <f>YEAR(Input!O11)</f>
        <v>2019</v>
      </c>
      <c r="J14" s="299"/>
      <c r="K14" s="87">
        <f>MONTH(Input!O11)</f>
        <v>5</v>
      </c>
      <c r="L14" s="87">
        <f>DAY(Input!O11)</f>
        <v>1</v>
      </c>
    </row>
    <row r="15" spans="1:28" x14ac:dyDescent="0.25"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</row>
    <row r="16" spans="1:28" ht="15" customHeight="1" x14ac:dyDescent="0.25">
      <c r="A16" s="269" t="s">
        <v>14</v>
      </c>
      <c r="B16" s="269"/>
      <c r="C16" s="269"/>
      <c r="D16" s="4"/>
      <c r="E16" s="331" t="s">
        <v>15</v>
      </c>
      <c r="F16" s="332"/>
      <c r="G16" s="333"/>
      <c r="H16" s="3"/>
      <c r="I16" s="331" t="s">
        <v>16</v>
      </c>
      <c r="J16" s="332"/>
      <c r="K16" s="333"/>
      <c r="L16" s="3"/>
      <c r="N16" s="269" t="s">
        <v>186</v>
      </c>
      <c r="O16" s="269"/>
      <c r="P16" s="269"/>
      <c r="Q16" s="269"/>
      <c r="R16" s="269"/>
      <c r="S16" s="269"/>
      <c r="T16" s="269"/>
      <c r="U16" s="269"/>
      <c r="V16" s="269"/>
      <c r="W16" s="269"/>
      <c r="X16" s="269"/>
      <c r="Y16" s="269"/>
      <c r="Z16" s="269"/>
      <c r="AA16" s="269"/>
      <c r="AB16" s="269"/>
    </row>
    <row r="17" spans="1:28" ht="15" customHeight="1" x14ac:dyDescent="0.25">
      <c r="A17" s="269"/>
      <c r="B17" s="269"/>
      <c r="C17" s="269"/>
      <c r="D17" s="4"/>
      <c r="E17" s="334"/>
      <c r="F17" s="335"/>
      <c r="G17" s="336"/>
      <c r="H17" s="3"/>
      <c r="I17" s="334"/>
      <c r="J17" s="335"/>
      <c r="K17" s="336"/>
      <c r="L17" s="3"/>
      <c r="N17" s="271" t="s">
        <v>188</v>
      </c>
      <c r="O17" s="271"/>
      <c r="P17" s="271"/>
      <c r="Q17" s="271"/>
      <c r="R17" s="271"/>
      <c r="S17" s="271"/>
      <c r="T17" s="271"/>
      <c r="U17" s="271"/>
      <c r="V17" s="269" t="s">
        <v>18</v>
      </c>
      <c r="W17" s="269"/>
      <c r="X17" s="269"/>
      <c r="Y17" s="269" t="s">
        <v>19</v>
      </c>
      <c r="Z17" s="269"/>
      <c r="AA17" s="269"/>
      <c r="AB17" s="269"/>
    </row>
    <row r="18" spans="1:28" x14ac:dyDescent="0.25">
      <c r="A18" s="267" t="s">
        <v>222</v>
      </c>
      <c r="B18" s="267"/>
      <c r="C18" s="267"/>
      <c r="D18" s="5"/>
      <c r="E18" s="353">
        <v>6500</v>
      </c>
      <c r="F18" s="354"/>
      <c r="G18" s="355"/>
      <c r="H18" s="5"/>
      <c r="I18" s="353">
        <v>15000</v>
      </c>
      <c r="J18" s="354"/>
      <c r="K18" s="355"/>
      <c r="L18" s="3"/>
      <c r="N18" s="370" t="s">
        <v>21</v>
      </c>
      <c r="O18" s="370"/>
      <c r="P18" s="370"/>
      <c r="Q18" s="358">
        <f>M27/360</f>
        <v>23.458333333333332</v>
      </c>
      <c r="R18" s="358"/>
      <c r="S18" s="370" t="s">
        <v>22</v>
      </c>
      <c r="T18" s="370"/>
      <c r="U18" s="370"/>
      <c r="V18" s="273">
        <f>IF(M24=0,0,VLOOKUP(Q18,Y58:Z92,2,1))</f>
        <v>9.39</v>
      </c>
      <c r="W18" s="273"/>
      <c r="X18" s="273"/>
      <c r="Y18" s="267">
        <f>IF(M24=0,0,VLOOKUP(Q18,N58:Q92,4,1))</f>
        <v>6.101</v>
      </c>
      <c r="Z18" s="267"/>
      <c r="AA18" s="267"/>
      <c r="AB18" s="267"/>
    </row>
    <row r="19" spans="1:28" ht="15" customHeight="1" x14ac:dyDescent="0.25">
      <c r="A19" s="267" t="s">
        <v>223</v>
      </c>
      <c r="B19" s="267"/>
      <c r="C19" s="267"/>
      <c r="D19" s="5"/>
      <c r="E19" s="285" t="s">
        <v>17</v>
      </c>
      <c r="F19" s="352"/>
      <c r="G19" s="286"/>
      <c r="H19" s="3"/>
      <c r="I19" s="285" t="s">
        <v>17</v>
      </c>
      <c r="J19" s="352"/>
      <c r="K19" s="286"/>
      <c r="L19" s="3"/>
      <c r="N19" s="271" t="s">
        <v>20</v>
      </c>
      <c r="O19" s="271"/>
      <c r="P19" s="271"/>
      <c r="Q19" s="271"/>
      <c r="R19" s="271"/>
      <c r="S19" s="271"/>
      <c r="T19" s="271"/>
      <c r="U19" s="271"/>
      <c r="V19" s="271"/>
      <c r="W19" s="271"/>
      <c r="X19" s="271"/>
      <c r="Y19" s="359">
        <f>IF(Input!I10&lt;=F10,V18,Y18)</f>
        <v>6.101</v>
      </c>
      <c r="Z19" s="359"/>
      <c r="AA19" s="359"/>
      <c r="AB19" s="359"/>
    </row>
    <row r="20" spans="1:28" x14ac:dyDescent="0.25">
      <c r="A20" s="2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</row>
    <row r="21" spans="1:28" ht="15" customHeight="1" x14ac:dyDescent="0.25">
      <c r="A21" s="279" t="s">
        <v>23</v>
      </c>
      <c r="B21" s="280"/>
      <c r="C21" s="281"/>
      <c r="D21" s="3"/>
      <c r="E21" s="279" t="s">
        <v>1</v>
      </c>
      <c r="F21" s="280"/>
      <c r="G21" s="280"/>
      <c r="H21" s="280"/>
      <c r="I21" s="280"/>
      <c r="J21" s="280"/>
      <c r="K21" s="281"/>
      <c r="L21" s="3"/>
      <c r="M21" s="279" t="s">
        <v>24</v>
      </c>
      <c r="N21" s="280"/>
      <c r="O21" s="281"/>
      <c r="P21" s="3"/>
      <c r="Q21" s="279" t="s">
        <v>22</v>
      </c>
      <c r="R21" s="281"/>
      <c r="S21" s="3"/>
      <c r="T21" s="279" t="s">
        <v>25</v>
      </c>
      <c r="U21" s="281"/>
      <c r="V21" s="3"/>
      <c r="W21" s="279" t="s">
        <v>4</v>
      </c>
      <c r="X21" s="281"/>
      <c r="Y21" s="175"/>
      <c r="Z21" s="4"/>
      <c r="AA21" s="4"/>
      <c r="AB21" s="4"/>
    </row>
    <row r="22" spans="1:28" ht="15" customHeight="1" x14ac:dyDescent="0.25">
      <c r="A22" s="267" t="s">
        <v>26</v>
      </c>
      <c r="B22" s="267"/>
      <c r="C22" s="267"/>
      <c r="D22" s="3"/>
      <c r="E22" s="303" t="s">
        <v>27</v>
      </c>
      <c r="F22" s="301"/>
      <c r="G22" s="301"/>
      <c r="H22" s="301"/>
      <c r="I22" s="301"/>
      <c r="J22" s="301"/>
      <c r="K22" s="302"/>
      <c r="L22" s="3"/>
      <c r="M22" s="287">
        <f>DAYS360(Input!I9,Input!I10)</f>
        <v>14160</v>
      </c>
      <c r="N22" s="288"/>
      <c r="O22" s="289"/>
      <c r="P22" s="3"/>
      <c r="Q22" s="285">
        <f>INT(M22/360)</f>
        <v>39</v>
      </c>
      <c r="R22" s="286"/>
      <c r="S22" s="3"/>
      <c r="T22" s="285">
        <f>INT((M22/360-Q22)*12)</f>
        <v>4</v>
      </c>
      <c r="U22" s="286"/>
      <c r="V22" s="3"/>
      <c r="W22" s="285">
        <f>M22-Q22*360-T22*30</f>
        <v>0</v>
      </c>
      <c r="X22" s="286"/>
      <c r="Y22" s="3"/>
      <c r="Z22" s="21"/>
      <c r="AA22" s="21"/>
      <c r="AB22" s="21"/>
    </row>
    <row r="23" spans="1:28" ht="18.75" x14ac:dyDescent="0.3">
      <c r="A23" s="267"/>
      <c r="B23" s="267"/>
      <c r="C23" s="267"/>
      <c r="D23" s="3"/>
      <c r="E23" s="303" t="s">
        <v>28</v>
      </c>
      <c r="F23" s="301"/>
      <c r="G23" s="301"/>
      <c r="H23" s="301"/>
      <c r="I23" s="301"/>
      <c r="J23" s="301"/>
      <c r="K23" s="302"/>
      <c r="L23" s="3"/>
      <c r="M23" s="287"/>
      <c r="N23" s="288"/>
      <c r="O23" s="289"/>
      <c r="P23" s="3"/>
      <c r="Q23" s="365">
        <f>IF(2*(M22/360)&gt;(2*Q22+1),(Q22+1),(M22/360))</f>
        <v>39.333333333333336</v>
      </c>
      <c r="R23" s="366"/>
      <c r="S23" s="7"/>
      <c r="T23" s="277">
        <v>0</v>
      </c>
      <c r="U23" s="278"/>
      <c r="V23" s="7"/>
      <c r="W23" s="277">
        <v>0</v>
      </c>
      <c r="X23" s="278"/>
      <c r="Y23" s="7"/>
      <c r="Z23" s="90"/>
      <c r="AA23" s="90"/>
      <c r="AB23" s="89"/>
    </row>
    <row r="24" spans="1:28" ht="15.75" x14ac:dyDescent="0.25">
      <c r="A24" s="267"/>
      <c r="B24" s="267"/>
      <c r="C24" s="267"/>
      <c r="D24" s="3"/>
      <c r="E24" s="303" t="s">
        <v>29</v>
      </c>
      <c r="F24" s="301"/>
      <c r="G24" s="301"/>
      <c r="H24" s="301"/>
      <c r="I24" s="301"/>
      <c r="J24" s="301"/>
      <c r="K24" s="302"/>
      <c r="L24" s="3"/>
      <c r="M24" s="287">
        <f>IF(Input!I9=0,0,IF(Input!I9&gt;=F9,0,DAYS360(Input!I9,F9)))</f>
        <v>5715</v>
      </c>
      <c r="N24" s="288"/>
      <c r="O24" s="289"/>
      <c r="P24" s="3"/>
      <c r="Q24" s="356">
        <f t="shared" ref="Q24:Q29" si="0">INT(M24/360)</f>
        <v>15</v>
      </c>
      <c r="R24" s="357"/>
      <c r="S24" s="7"/>
      <c r="T24" s="277">
        <f t="shared" ref="T24:T29" si="1">INT((M24/360-Q24)*12)</f>
        <v>10</v>
      </c>
      <c r="U24" s="278"/>
      <c r="V24" s="7"/>
      <c r="W24" s="277">
        <f>M24-Q24*360-T24*30</f>
        <v>15</v>
      </c>
      <c r="X24" s="278"/>
      <c r="Y24" s="88"/>
      <c r="Z24" s="91"/>
      <c r="AA24" s="91"/>
      <c r="AB24" s="89"/>
    </row>
    <row r="25" spans="1:28" x14ac:dyDescent="0.25">
      <c r="A25" s="307" t="s">
        <v>30</v>
      </c>
      <c r="B25" s="308"/>
      <c r="C25" s="309"/>
      <c r="D25" s="3"/>
      <c r="E25" s="300" t="s">
        <v>31</v>
      </c>
      <c r="F25" s="301"/>
      <c r="G25" s="301"/>
      <c r="H25" s="301"/>
      <c r="I25" s="301"/>
      <c r="J25" s="301"/>
      <c r="K25" s="302"/>
      <c r="L25" s="3"/>
      <c r="M25" s="367">
        <f>IF(Input!I9=0,0,IF(Input!I9&gt;=F9,DAYS360(Input!I9,F11),IF(Input!I10&lt;='Pension Cal'!F11,DAYS360('Pension Cal'!F9,Input!I10),DAYS360('Pension Cal'!F9,'Pension Cal'!F11))))</f>
        <v>6765</v>
      </c>
      <c r="N25" s="288"/>
      <c r="O25" s="289"/>
      <c r="P25" s="3"/>
      <c r="Q25" s="285">
        <f t="shared" si="0"/>
        <v>18</v>
      </c>
      <c r="R25" s="286"/>
      <c r="S25" s="3"/>
      <c r="T25" s="285">
        <f t="shared" si="1"/>
        <v>9</v>
      </c>
      <c r="U25" s="286"/>
      <c r="V25" s="3"/>
      <c r="W25" s="285">
        <f>(M25-Q25*360-T25*30)</f>
        <v>15</v>
      </c>
      <c r="X25" s="286"/>
      <c r="Y25" s="3"/>
      <c r="Z25" s="21"/>
      <c r="AA25" s="21"/>
      <c r="AB25" s="21"/>
    </row>
    <row r="26" spans="1:28" x14ac:dyDescent="0.25">
      <c r="A26" s="310"/>
      <c r="B26" s="311"/>
      <c r="C26" s="312"/>
      <c r="D26" s="3"/>
      <c r="E26" s="300" t="s">
        <v>32</v>
      </c>
      <c r="F26" s="301"/>
      <c r="G26" s="301"/>
      <c r="H26" s="301"/>
      <c r="I26" s="301"/>
      <c r="J26" s="301"/>
      <c r="K26" s="302"/>
      <c r="L26" s="3"/>
      <c r="M26" s="274">
        <f>IF(Input!I11&lt;='Pension Cal'!F11,0,DAYS360('Pension Cal'!F11,Input!I11))</f>
        <v>1680</v>
      </c>
      <c r="N26" s="275"/>
      <c r="O26" s="276"/>
      <c r="P26" s="3"/>
      <c r="Q26" s="285">
        <f t="shared" si="0"/>
        <v>4</v>
      </c>
      <c r="R26" s="286"/>
      <c r="S26" s="3"/>
      <c r="T26" s="285">
        <f t="shared" si="1"/>
        <v>8</v>
      </c>
      <c r="U26" s="286"/>
      <c r="V26" s="3"/>
      <c r="W26" s="285">
        <f>(M26-Q26*360-T26*30)</f>
        <v>0</v>
      </c>
      <c r="X26" s="286"/>
      <c r="Y26" s="3"/>
      <c r="Z26" s="21"/>
      <c r="AA26" s="21"/>
      <c r="AB26" s="21"/>
    </row>
    <row r="27" spans="1:28" x14ac:dyDescent="0.25">
      <c r="A27" s="313"/>
      <c r="B27" s="314"/>
      <c r="C27" s="315"/>
      <c r="D27" s="3"/>
      <c r="E27" s="300" t="s">
        <v>33</v>
      </c>
      <c r="F27" s="301"/>
      <c r="G27" s="301"/>
      <c r="H27" s="301"/>
      <c r="I27" s="301"/>
      <c r="J27" s="301"/>
      <c r="K27" s="302"/>
      <c r="L27" s="3"/>
      <c r="M27" s="274">
        <f>SUM(M25:M26)</f>
        <v>8445</v>
      </c>
      <c r="N27" s="275"/>
      <c r="O27" s="276"/>
      <c r="P27" s="3"/>
      <c r="Q27" s="277">
        <f t="shared" si="0"/>
        <v>23</v>
      </c>
      <c r="R27" s="278"/>
      <c r="S27" s="7"/>
      <c r="T27" s="277">
        <f t="shared" si="1"/>
        <v>5</v>
      </c>
      <c r="U27" s="278"/>
      <c r="V27" s="88"/>
      <c r="W27" s="304">
        <f>M27-Q27*360-T27*30</f>
        <v>15</v>
      </c>
      <c r="X27" s="305"/>
      <c r="Y27" s="3"/>
      <c r="Z27" s="89"/>
      <c r="AA27" s="89"/>
      <c r="AB27" s="89"/>
    </row>
    <row r="28" spans="1:28" x14ac:dyDescent="0.25">
      <c r="A28" s="267" t="s">
        <v>34</v>
      </c>
      <c r="B28" s="267"/>
      <c r="C28" s="267"/>
      <c r="D28" s="3"/>
      <c r="E28" s="303" t="s">
        <v>35</v>
      </c>
      <c r="F28" s="301"/>
      <c r="G28" s="301"/>
      <c r="H28" s="301"/>
      <c r="I28" s="301"/>
      <c r="J28" s="301"/>
      <c r="K28" s="302"/>
      <c r="L28" s="3"/>
      <c r="M28" s="287">
        <f>IF(Input!N10=2,720,0)</f>
        <v>0</v>
      </c>
      <c r="N28" s="288"/>
      <c r="O28" s="289"/>
      <c r="P28" s="3"/>
      <c r="Q28" s="285">
        <f>INT(M28/360)</f>
        <v>0</v>
      </c>
      <c r="R28" s="286"/>
      <c r="S28" s="3"/>
      <c r="T28" s="285">
        <f>INT((M28/360-Q28)*12)</f>
        <v>0</v>
      </c>
      <c r="U28" s="286"/>
      <c r="V28" s="3"/>
      <c r="W28" s="285">
        <f>M28-Q28*360-T28*30</f>
        <v>0</v>
      </c>
      <c r="X28" s="286"/>
      <c r="Y28" s="3"/>
      <c r="Z28" s="21"/>
      <c r="AA28" s="21"/>
      <c r="AB28" s="21"/>
    </row>
    <row r="29" spans="1:28" x14ac:dyDescent="0.25">
      <c r="A29" s="267"/>
      <c r="B29" s="267"/>
      <c r="C29" s="267"/>
      <c r="D29" s="3"/>
      <c r="E29" s="303" t="s">
        <v>36</v>
      </c>
      <c r="F29" s="301"/>
      <c r="G29" s="301"/>
      <c r="H29" s="301"/>
      <c r="I29" s="301"/>
      <c r="J29" s="301"/>
      <c r="K29" s="302"/>
      <c r="L29" s="3"/>
      <c r="M29" s="287">
        <f>Input!N9</f>
        <v>0</v>
      </c>
      <c r="N29" s="288"/>
      <c r="O29" s="289"/>
      <c r="P29" s="3"/>
      <c r="Q29" s="285">
        <f t="shared" si="0"/>
        <v>0</v>
      </c>
      <c r="R29" s="286"/>
      <c r="S29" s="3"/>
      <c r="T29" s="285">
        <f t="shared" si="1"/>
        <v>0</v>
      </c>
      <c r="U29" s="286"/>
      <c r="V29" s="3"/>
      <c r="W29" s="285">
        <f>M29-Q29*360-T29*30</f>
        <v>0</v>
      </c>
      <c r="X29" s="286"/>
      <c r="Y29" s="3"/>
      <c r="Z29" s="21"/>
      <c r="AA29" s="21"/>
      <c r="AB29" s="21"/>
    </row>
    <row r="30" spans="1:28" ht="30.75" customHeight="1" x14ac:dyDescent="0.25">
      <c r="A30" s="267"/>
      <c r="B30" s="267"/>
      <c r="C30" s="267"/>
      <c r="D30" s="3"/>
      <c r="E30" s="306" t="s">
        <v>146</v>
      </c>
      <c r="F30" s="301"/>
      <c r="G30" s="301"/>
      <c r="H30" s="301"/>
      <c r="I30" s="301"/>
      <c r="J30" s="301"/>
      <c r="K30" s="302"/>
      <c r="L30" s="3"/>
      <c r="M30" s="287">
        <f>M25+M28-M29</f>
        <v>6765</v>
      </c>
      <c r="N30" s="288"/>
      <c r="O30" s="289"/>
      <c r="P30" s="3"/>
      <c r="Q30" s="290">
        <f>Q25+Q28-Q29</f>
        <v>18</v>
      </c>
      <c r="R30" s="291"/>
      <c r="S30" s="8"/>
      <c r="T30" s="282">
        <f>T25+T28-T29</f>
        <v>9</v>
      </c>
      <c r="U30" s="283"/>
      <c r="W30" s="290">
        <f>W25+W28-W29</f>
        <v>15</v>
      </c>
      <c r="X30" s="291"/>
      <c r="Y30" s="3"/>
      <c r="Z30" s="89"/>
      <c r="AA30" s="89"/>
      <c r="AB30" s="89"/>
    </row>
    <row r="31" spans="1:28" ht="30" customHeight="1" x14ac:dyDescent="0.25">
      <c r="A31" s="267"/>
      <c r="B31" s="267"/>
      <c r="C31" s="267"/>
      <c r="D31" s="3"/>
      <c r="E31" s="306" t="s">
        <v>147</v>
      </c>
      <c r="F31" s="301"/>
      <c r="G31" s="301"/>
      <c r="H31" s="301"/>
      <c r="I31" s="301"/>
      <c r="J31" s="301"/>
      <c r="K31" s="302"/>
      <c r="L31" s="3"/>
      <c r="M31" s="287">
        <f>M27+M28-M29</f>
        <v>8445</v>
      </c>
      <c r="N31" s="288"/>
      <c r="O31" s="289"/>
      <c r="P31" s="3"/>
      <c r="Q31" s="290">
        <f>Q27+Q28-Q29</f>
        <v>23</v>
      </c>
      <c r="R31" s="291"/>
      <c r="S31" s="8"/>
      <c r="T31" s="282">
        <f>T27+T28-T29</f>
        <v>5</v>
      </c>
      <c r="U31" s="283"/>
      <c r="V31" s="8"/>
      <c r="W31" s="290">
        <f>W27+W28-W29</f>
        <v>15</v>
      </c>
      <c r="X31" s="291"/>
      <c r="Y31" s="3"/>
      <c r="Z31" s="89"/>
      <c r="AA31" s="89"/>
      <c r="AB31" s="89"/>
    </row>
    <row r="32" spans="1:28" s="9" customFormat="1" ht="15" customHeight="1" x14ac:dyDescent="0.25">
      <c r="A32" s="320" t="s">
        <v>177</v>
      </c>
      <c r="B32" s="321"/>
      <c r="C32" s="322"/>
      <c r="D32" s="17"/>
      <c r="E32" s="323" t="s">
        <v>175</v>
      </c>
      <c r="F32" s="324"/>
      <c r="G32" s="324"/>
      <c r="H32" s="324"/>
      <c r="I32" s="324"/>
      <c r="J32" s="324"/>
      <c r="K32" s="325"/>
      <c r="L32" s="17"/>
      <c r="M32" s="274">
        <f>IF(Input!I11=0,0,ABS(DAYS360(F12,Input!I11)))</f>
        <v>16</v>
      </c>
      <c r="N32" s="275"/>
      <c r="O32" s="276"/>
      <c r="P32" s="17"/>
      <c r="Q32" s="282">
        <f>INT(M32/360)</f>
        <v>0</v>
      </c>
      <c r="R32" s="283"/>
      <c r="S32" s="17"/>
      <c r="T32" s="282">
        <f>INT((M32/360-Q32)*12)</f>
        <v>0</v>
      </c>
      <c r="U32" s="283"/>
      <c r="V32" s="17"/>
      <c r="W32" s="282">
        <f>M32-Q32*360-T32*30</f>
        <v>16</v>
      </c>
      <c r="X32" s="283"/>
      <c r="Y32" s="17"/>
      <c r="Z32" s="21"/>
      <c r="AA32" s="21"/>
      <c r="AB32" s="21"/>
    </row>
    <row r="33" spans="1:28" x14ac:dyDescent="0.25">
      <c r="A33" s="2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</row>
    <row r="34" spans="1:28" ht="15.75" customHeight="1" x14ac:dyDescent="0.25">
      <c r="A34" s="2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284" t="s">
        <v>243</v>
      </c>
      <c r="N34" s="284"/>
      <c r="O34" s="284"/>
      <c r="P34" s="284"/>
      <c r="Q34" s="284"/>
      <c r="R34" s="284"/>
      <c r="S34" s="284"/>
      <c r="T34" s="183"/>
      <c r="U34" s="3"/>
      <c r="V34" s="284" t="s">
        <v>205</v>
      </c>
      <c r="W34" s="284"/>
      <c r="X34" s="284"/>
      <c r="Y34" s="284"/>
      <c r="Z34" s="284"/>
      <c r="AA34" s="284"/>
      <c r="AB34" s="284"/>
    </row>
    <row r="35" spans="1:28" ht="30.75" customHeight="1" x14ac:dyDescent="0.25">
      <c r="A35" s="279" t="s">
        <v>37</v>
      </c>
      <c r="B35" s="280"/>
      <c r="C35" s="280"/>
      <c r="D35" s="280"/>
      <c r="E35" s="280"/>
      <c r="F35" s="281"/>
      <c r="G35" s="3"/>
      <c r="H35" s="279" t="s">
        <v>168</v>
      </c>
      <c r="I35" s="280"/>
      <c r="J35" s="280"/>
      <c r="K35" s="281"/>
      <c r="L35" s="3"/>
      <c r="M35" s="269" t="s">
        <v>167</v>
      </c>
      <c r="N35" s="269"/>
      <c r="O35" s="269" t="s">
        <v>190</v>
      </c>
      <c r="P35" s="269"/>
      <c r="Q35" s="269"/>
      <c r="R35" s="269" t="s">
        <v>38</v>
      </c>
      <c r="S35" s="269"/>
      <c r="T35" s="4"/>
      <c r="V35" s="269" t="s">
        <v>185</v>
      </c>
      <c r="W35" s="269"/>
      <c r="X35" s="269" t="s">
        <v>190</v>
      </c>
      <c r="Y35" s="269"/>
      <c r="Z35" s="269"/>
      <c r="AA35" s="269" t="s">
        <v>38</v>
      </c>
      <c r="AB35" s="269"/>
    </row>
    <row r="36" spans="1:28" ht="30.75" customHeight="1" x14ac:dyDescent="0.25">
      <c r="A36" s="218"/>
      <c r="B36" s="219"/>
      <c r="C36" s="219"/>
      <c r="D36" s="219"/>
      <c r="E36" s="219"/>
      <c r="F36" s="220"/>
      <c r="G36" s="3"/>
      <c r="H36" s="218"/>
      <c r="I36" s="219"/>
      <c r="J36" s="219"/>
      <c r="K36" s="220"/>
      <c r="L36" s="3"/>
      <c r="M36" s="279"/>
      <c r="N36" s="280"/>
      <c r="O36" s="280"/>
      <c r="P36" s="280"/>
      <c r="Q36" s="280"/>
      <c r="R36" s="280"/>
      <c r="S36" s="281"/>
      <c r="T36" s="4"/>
      <c r="V36" s="216" t="s">
        <v>216</v>
      </c>
      <c r="W36" s="216" t="s">
        <v>215</v>
      </c>
      <c r="X36" s="279"/>
      <c r="Y36" s="280"/>
      <c r="Z36" s="281"/>
      <c r="AA36" s="279"/>
      <c r="AB36" s="281"/>
    </row>
    <row r="37" spans="1:28" x14ac:dyDescent="0.25">
      <c r="A37" s="267" t="s">
        <v>155</v>
      </c>
      <c r="B37" s="267"/>
      <c r="C37" s="267"/>
      <c r="D37" s="267"/>
      <c r="E37" s="267"/>
      <c r="F37" s="267"/>
      <c r="G37" s="3"/>
      <c r="H37" s="316">
        <f>M30</f>
        <v>6765</v>
      </c>
      <c r="I37" s="316"/>
      <c r="J37" s="316"/>
      <c r="K37" s="316"/>
      <c r="L37" s="3"/>
      <c r="M37" s="317">
        <f>IF(Input!I10=0,0,IF(Input!I10&lt;=F11,E18,((Q26*12+T26+W26/30)*I18+(60-(Q26*12+T26+W26/30))*E18)/((5*360)/30)))</f>
        <v>14433.333333333334</v>
      </c>
      <c r="N37" s="317"/>
      <c r="O37" s="299">
        <f>Y13</f>
        <v>135</v>
      </c>
      <c r="P37" s="299"/>
      <c r="Q37" s="299"/>
      <c r="R37" s="273">
        <f>Y19</f>
        <v>6.101</v>
      </c>
      <c r="S37" s="273"/>
      <c r="T37" s="184"/>
      <c r="V37" s="126">
        <f>IF(Input!I10&gt;'Pension Cal'!F11,0,AVERAGE(('Amount Cal'!G202:'Amount Cal'!R202)))</f>
        <v>0</v>
      </c>
      <c r="W37" s="126">
        <f>IF(Input!I10&lt;='Pension Cal'!F11,0,AVERAGE(('Amount Cal'!G202:'Amount Cal'!R202),('Amount Cal'!G204:'Amount Cal'!R204),('Amount Cal'!G206:'Amount Cal'!R206),('Amount Cal'!G208:'Amount Cal'!R208),('Amount Cal'!G210:'Amount Cal'!R210)))</f>
        <v>86909.96666666666</v>
      </c>
      <c r="X37" s="299">
        <f>Y13</f>
        <v>135</v>
      </c>
      <c r="Y37" s="299"/>
      <c r="Z37" s="299"/>
      <c r="AA37" s="273">
        <f>Y19</f>
        <v>6.101</v>
      </c>
      <c r="AB37" s="273"/>
    </row>
    <row r="38" spans="1:28" x14ac:dyDescent="0.25">
      <c r="A38" s="2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</row>
    <row r="39" spans="1:28" ht="15" customHeight="1" x14ac:dyDescent="0.25">
      <c r="A39" s="267"/>
      <c r="B39" s="267"/>
      <c r="C39" s="267"/>
      <c r="D39" s="3"/>
      <c r="E39" s="269" t="s">
        <v>39</v>
      </c>
      <c r="F39" s="269"/>
      <c r="G39" s="269"/>
      <c r="H39" s="269"/>
      <c r="I39" s="269"/>
      <c r="J39" s="269"/>
      <c r="K39" s="269"/>
      <c r="L39" s="3"/>
      <c r="M39" s="363" t="s">
        <v>231</v>
      </c>
      <c r="N39" s="363"/>
      <c r="O39" s="363"/>
      <c r="P39" s="363"/>
      <c r="Q39" s="363"/>
      <c r="R39" s="363"/>
      <c r="S39" s="363"/>
      <c r="T39" s="181"/>
      <c r="U39" s="181"/>
      <c r="V39" s="3"/>
      <c r="W39" s="5"/>
      <c r="X39" s="114"/>
      <c r="Y39" s="114"/>
      <c r="Z39" s="114"/>
      <c r="AA39" s="114"/>
      <c r="AB39" s="114"/>
    </row>
    <row r="40" spans="1:28" s="9" customFormat="1" ht="15" customHeight="1" x14ac:dyDescent="0.25">
      <c r="A40" s="267"/>
      <c r="B40" s="267"/>
      <c r="C40" s="267"/>
      <c r="D40" s="5"/>
      <c r="E40" s="269"/>
      <c r="F40" s="269"/>
      <c r="G40" s="269"/>
      <c r="H40" s="269"/>
      <c r="I40" s="269"/>
      <c r="J40" s="269"/>
      <c r="K40" s="269"/>
      <c r="L40" s="5"/>
      <c r="M40" s="363" t="s">
        <v>243</v>
      </c>
      <c r="N40" s="363"/>
      <c r="O40" s="181"/>
      <c r="P40" s="181"/>
      <c r="Q40" s="3"/>
      <c r="R40" s="363" t="s">
        <v>205</v>
      </c>
      <c r="S40" s="363"/>
      <c r="T40" s="181"/>
      <c r="U40" s="181"/>
      <c r="V40" s="5"/>
      <c r="W40" s="114"/>
      <c r="X40" s="114"/>
      <c r="Y40" s="114"/>
      <c r="Z40" s="114"/>
      <c r="AA40" s="114"/>
      <c r="AB40" s="114"/>
    </row>
    <row r="41" spans="1:28" s="9" customFormat="1" ht="15" customHeight="1" x14ac:dyDescent="0.25">
      <c r="A41" s="122"/>
      <c r="B41" s="123"/>
      <c r="C41" s="123"/>
      <c r="D41" s="5"/>
      <c r="E41" s="124"/>
      <c r="F41" s="124"/>
      <c r="G41" s="124"/>
      <c r="H41" s="124"/>
      <c r="I41" s="124"/>
      <c r="J41" s="124"/>
      <c r="K41" s="124"/>
      <c r="L41" s="5"/>
      <c r="M41" s="125"/>
      <c r="N41" s="125"/>
      <c r="O41" s="125"/>
      <c r="P41" s="125"/>
      <c r="Q41" s="5"/>
      <c r="R41" s="125"/>
      <c r="S41" s="125"/>
      <c r="T41" s="125"/>
      <c r="U41" s="125"/>
      <c r="V41" s="5"/>
      <c r="W41" s="114"/>
      <c r="X41" s="114"/>
      <c r="Y41" s="114"/>
      <c r="Z41" s="114"/>
      <c r="AA41" s="114"/>
      <c r="AB41" s="114"/>
    </row>
    <row r="42" spans="1:28" ht="15" customHeight="1" x14ac:dyDescent="0.25">
      <c r="A42" s="267" t="s">
        <v>191</v>
      </c>
      <c r="B42" s="267"/>
      <c r="C42" s="267"/>
      <c r="D42" s="3"/>
      <c r="E42" s="303" t="s">
        <v>40</v>
      </c>
      <c r="F42" s="301"/>
      <c r="G42" s="301"/>
      <c r="H42" s="301"/>
      <c r="I42" s="301"/>
      <c r="J42" s="301"/>
      <c r="K42" s="302"/>
      <c r="L42" s="3"/>
      <c r="M42" s="368">
        <f>IF('Amount Cal'!G202=0,0,IF('Amount Cal'!G202&lt;=E18,(M31/360)*(E18/70),(M30/360)*(E18/70)))</f>
        <v>1744.9404761904764</v>
      </c>
      <c r="N42" s="368"/>
      <c r="Q42" s="3"/>
      <c r="R42" s="317">
        <f>IF(Input!I10&lt;'Pension Cal'!F11,(V37/70)*(H37/360),(W37/70)*(H37/360))</f>
        <v>23331.187480158733</v>
      </c>
      <c r="S42" s="368"/>
      <c r="V42" s="92"/>
      <c r="W42" s="128"/>
      <c r="X42" s="128"/>
      <c r="Y42" s="5"/>
      <c r="Z42" s="5"/>
      <c r="AA42" s="5"/>
      <c r="AB42" s="5"/>
    </row>
    <row r="43" spans="1:28" ht="15" customHeight="1" x14ac:dyDescent="0.25">
      <c r="A43" s="267"/>
      <c r="B43" s="267"/>
      <c r="C43" s="267"/>
      <c r="D43" s="3"/>
      <c r="E43" s="303" t="s">
        <v>41</v>
      </c>
      <c r="F43" s="301"/>
      <c r="G43" s="301"/>
      <c r="H43" s="301"/>
      <c r="I43" s="301"/>
      <c r="J43" s="301"/>
      <c r="K43" s="302"/>
      <c r="L43" s="3"/>
      <c r="M43" s="317">
        <f>IF('Amount Cal'!G202=0,0,IF('Amount Cal'!G202&gt;E18,M37/70*M26/360,0))</f>
        <v>962.22222222222217</v>
      </c>
      <c r="N43" s="317"/>
      <c r="Q43" s="3"/>
      <c r="R43" s="368"/>
      <c r="S43" s="368"/>
      <c r="V43" s="92"/>
      <c r="W43" s="128"/>
      <c r="X43" s="128"/>
      <c r="Y43" s="5"/>
      <c r="Z43" s="5"/>
      <c r="AA43" s="5"/>
      <c r="AB43" s="5"/>
    </row>
    <row r="44" spans="1:28" x14ac:dyDescent="0.25">
      <c r="A44" s="267"/>
      <c r="B44" s="267"/>
      <c r="C44" s="267"/>
      <c r="D44" s="3"/>
      <c r="E44" s="303" t="s">
        <v>42</v>
      </c>
      <c r="F44" s="301"/>
      <c r="G44" s="301"/>
      <c r="H44" s="301"/>
      <c r="I44" s="301"/>
      <c r="J44" s="301"/>
      <c r="K44" s="302"/>
      <c r="L44" s="3"/>
      <c r="M44" s="316">
        <f>IF('Amount Cal'!G202=0,0,IF(Input!I9=0,0,O37*R37))</f>
        <v>823.63499999999999</v>
      </c>
      <c r="N44" s="316"/>
      <c r="Q44" s="3"/>
      <c r="R44" s="369">
        <f>IF('Amount Cal'!G202=0,0,X37*AA37)</f>
        <v>823.63499999999999</v>
      </c>
      <c r="S44" s="369"/>
      <c r="V44" s="92"/>
      <c r="W44" s="128"/>
      <c r="X44" s="128"/>
      <c r="Y44" s="5"/>
      <c r="Z44" s="5"/>
      <c r="AA44" s="5"/>
      <c r="AB44" s="5"/>
    </row>
    <row r="45" spans="1:28" ht="15" customHeight="1" x14ac:dyDescent="0.25">
      <c r="A45" s="267"/>
      <c r="B45" s="267"/>
      <c r="C45" s="267"/>
      <c r="D45" s="3"/>
      <c r="E45" s="303" t="s">
        <v>43</v>
      </c>
      <c r="F45" s="301"/>
      <c r="G45" s="301"/>
      <c r="H45" s="301"/>
      <c r="I45" s="301"/>
      <c r="J45" s="301"/>
      <c r="K45" s="302"/>
      <c r="L45" s="3"/>
      <c r="M45" s="316">
        <f>M42+M43+M44</f>
        <v>3530.797698412699</v>
      </c>
      <c r="N45" s="316"/>
      <c r="Q45" s="3"/>
      <c r="R45" s="316">
        <f>R42+R44</f>
        <v>24154.822480158731</v>
      </c>
      <c r="S45" s="316"/>
      <c r="V45" s="92"/>
      <c r="W45" s="128"/>
      <c r="X45" s="128"/>
      <c r="Y45" s="5"/>
      <c r="Z45" s="5"/>
      <c r="AA45" s="5"/>
      <c r="AB45" s="5"/>
    </row>
    <row r="46" spans="1:28" ht="18.75" customHeight="1" x14ac:dyDescent="0.25">
      <c r="A46" s="267"/>
      <c r="B46" s="267"/>
      <c r="C46" s="267"/>
      <c r="D46" s="3"/>
      <c r="E46" s="320" t="s">
        <v>192</v>
      </c>
      <c r="F46" s="321"/>
      <c r="G46" s="321"/>
      <c r="H46" s="321"/>
      <c r="I46" s="321"/>
      <c r="J46" s="321"/>
      <c r="K46" s="322"/>
      <c r="L46" s="3"/>
      <c r="M46" s="319">
        <f>ROUND(M45,0)</f>
        <v>3531</v>
      </c>
      <c r="N46" s="319"/>
      <c r="Q46" s="3"/>
      <c r="R46" s="319">
        <f>ROUND(R45,0)</f>
        <v>24155</v>
      </c>
      <c r="S46" s="319"/>
      <c r="W46" s="128"/>
      <c r="X46" s="128"/>
      <c r="Y46" s="115"/>
      <c r="Z46" s="115"/>
      <c r="AA46" s="115"/>
      <c r="AB46" s="115"/>
    </row>
    <row r="47" spans="1:28" x14ac:dyDescent="0.25">
      <c r="A47" s="267"/>
      <c r="B47" s="267"/>
      <c r="C47" s="267"/>
      <c r="D47" s="3"/>
      <c r="E47" s="303" t="s">
        <v>44</v>
      </c>
      <c r="F47" s="301"/>
      <c r="G47" s="301"/>
      <c r="H47" s="301"/>
      <c r="I47" s="301"/>
      <c r="J47" s="301"/>
      <c r="K47" s="302"/>
      <c r="L47" s="3"/>
      <c r="M47" s="316">
        <f>M46/2</f>
        <v>1765.5</v>
      </c>
      <c r="N47" s="316"/>
      <c r="Q47" s="3"/>
      <c r="R47" s="316">
        <f>R46/2</f>
        <v>12077.5</v>
      </c>
      <c r="S47" s="316"/>
      <c r="V47" s="3"/>
      <c r="W47" s="128"/>
      <c r="X47" s="128"/>
    </row>
    <row r="48" spans="1:28" x14ac:dyDescent="0.25">
      <c r="A48" s="267"/>
      <c r="B48" s="267"/>
      <c r="C48" s="267"/>
      <c r="D48" s="3"/>
      <c r="E48" s="303" t="s">
        <v>45</v>
      </c>
      <c r="F48" s="301"/>
      <c r="G48" s="301"/>
      <c r="H48" s="301"/>
      <c r="I48" s="301"/>
      <c r="J48" s="301"/>
      <c r="K48" s="302"/>
      <c r="L48" s="3"/>
      <c r="M48" s="316">
        <f>ROUND(M47/4,0)</f>
        <v>441</v>
      </c>
      <c r="N48" s="316"/>
      <c r="Q48" s="3"/>
      <c r="R48" s="316">
        <f>ROUND(R47/4,0)</f>
        <v>3019</v>
      </c>
      <c r="S48" s="316"/>
      <c r="V48" s="3"/>
      <c r="W48" s="128"/>
      <c r="X48" s="128"/>
    </row>
    <row r="49" spans="1:29" x14ac:dyDescent="0.25">
      <c r="A49" s="267"/>
      <c r="B49" s="267"/>
      <c r="C49" s="267"/>
      <c r="D49" s="10"/>
      <c r="E49" s="303" t="s">
        <v>46</v>
      </c>
      <c r="F49" s="301"/>
      <c r="G49" s="301"/>
      <c r="H49" s="301"/>
      <c r="I49" s="301"/>
      <c r="J49" s="301"/>
      <c r="K49" s="302"/>
      <c r="L49" s="10"/>
      <c r="M49" s="316">
        <f>ROUND(M47*3/4,0)</f>
        <v>1324</v>
      </c>
      <c r="N49" s="316"/>
      <c r="Q49" s="3"/>
      <c r="R49" s="316">
        <f>ROUND(R47*3/4,0)</f>
        <v>9058</v>
      </c>
      <c r="S49" s="316"/>
      <c r="V49" s="3"/>
      <c r="W49" s="128"/>
      <c r="X49" s="128"/>
    </row>
    <row r="50" spans="1:29" x14ac:dyDescent="0.25">
      <c r="A50" s="221"/>
      <c r="B50" s="221"/>
      <c r="C50" s="221"/>
      <c r="D50" s="3"/>
      <c r="E50" s="6"/>
      <c r="F50" s="6"/>
      <c r="G50" s="6"/>
      <c r="H50" s="6"/>
      <c r="I50" s="6"/>
      <c r="J50" s="6"/>
      <c r="K50" s="6"/>
      <c r="L50" s="3"/>
      <c r="M50" s="18"/>
      <c r="N50" s="182"/>
      <c r="O50" s="18"/>
      <c r="P50" s="18"/>
      <c r="Q50" s="3"/>
      <c r="R50" s="18"/>
      <c r="S50" s="182"/>
      <c r="T50" s="18"/>
      <c r="U50" s="18"/>
      <c r="V50" s="3"/>
      <c r="W50" s="128"/>
      <c r="X50" s="128"/>
    </row>
    <row r="51" spans="1:29" s="9" customFormat="1" ht="18.75" x14ac:dyDescent="0.25">
      <c r="A51" s="320" t="s">
        <v>193</v>
      </c>
      <c r="B51" s="321"/>
      <c r="C51" s="322"/>
      <c r="D51" s="79"/>
      <c r="E51" s="320" t="s">
        <v>176</v>
      </c>
      <c r="F51" s="321"/>
      <c r="G51" s="321"/>
      <c r="H51" s="321"/>
      <c r="I51" s="321"/>
      <c r="J51" s="321"/>
      <c r="K51" s="322"/>
      <c r="L51" s="79"/>
      <c r="M51" s="319">
        <f>IF(Q32&lt;=0,0,IF(Q32=1,M46*(1-4/100),IF(Q32=2,M46*(1-8.16/100),IF(Q32=3,M46*(1-12.49/100),IF(Q32=4,M46*(1-16.99/100),IF(Q32=5,M46*(1-21.67/100),M46*(1-25/100)))))))</f>
        <v>0</v>
      </c>
      <c r="N51" s="319"/>
      <c r="R51" s="319">
        <f>IF(Q32&lt;=0,0,IF(Q32=1,R46*(1-4/100),IF(Q32=2,R46*(1-8.16/100),IF(Q32=3,R46*(1-12.49/100),IF(Q32=4,R46*(1-16.99/100),IF(Q32=5,R46*(1-21.67/100),R46*(1-25/100)))))))</f>
        <v>0</v>
      </c>
      <c r="S51" s="319"/>
      <c r="V51" s="3"/>
      <c r="W51" s="128"/>
      <c r="X51" s="128"/>
      <c r="Y51" s="1"/>
      <c r="Z51" s="1"/>
      <c r="AA51" s="1"/>
      <c r="AB51" s="1"/>
      <c r="AC51" s="79"/>
    </row>
    <row r="52" spans="1:29" s="9" customFormat="1" ht="18.75" x14ac:dyDescent="0.25">
      <c r="A52" s="320" t="s">
        <v>194</v>
      </c>
      <c r="B52" s="321"/>
      <c r="C52" s="322"/>
      <c r="D52" s="79"/>
      <c r="E52" s="320" t="s">
        <v>178</v>
      </c>
      <c r="F52" s="321"/>
      <c r="G52" s="321"/>
      <c r="H52" s="321"/>
      <c r="I52" s="321"/>
      <c r="J52" s="321"/>
      <c r="K52" s="322"/>
      <c r="L52" s="79"/>
      <c r="M52" s="319">
        <f>IF(Q32&lt;=0,0,IF(Q32=1,M46*(1+4/100),M46*(1+8.16/100)))</f>
        <v>0</v>
      </c>
      <c r="N52" s="319"/>
      <c r="R52" s="319">
        <f>IF(Q32&lt;=0,0,IF(Q32=1,R46*(1+4/100),R46*(1+8.16/100)))</f>
        <v>0</v>
      </c>
      <c r="S52" s="319"/>
      <c r="V52" s="3"/>
      <c r="W52" s="128"/>
      <c r="X52" s="128"/>
      <c r="Y52" s="1"/>
      <c r="Z52" s="1"/>
      <c r="AA52" s="1"/>
      <c r="AB52" s="1"/>
      <c r="AC52" s="79"/>
    </row>
    <row r="53" spans="1:29" hidden="1" x14ac:dyDescent="0.25">
      <c r="B53" s="86"/>
      <c r="C53" s="86"/>
      <c r="D53" s="86"/>
      <c r="E53" s="86"/>
      <c r="F53" s="86"/>
      <c r="G53" s="86"/>
      <c r="H53" s="86"/>
      <c r="I53" s="86"/>
      <c r="J53" s="86"/>
      <c r="K53" s="86"/>
      <c r="L53" s="3"/>
      <c r="V53" s="3"/>
    </row>
    <row r="54" spans="1:29" hidden="1" x14ac:dyDescent="0.25">
      <c r="B54" s="285" t="s">
        <v>181</v>
      </c>
      <c r="C54" s="352"/>
      <c r="D54" s="352"/>
      <c r="E54" s="352"/>
      <c r="F54" s="352"/>
      <c r="G54" s="352"/>
      <c r="H54" s="286"/>
      <c r="I54" s="221"/>
      <c r="K54" s="267" t="s">
        <v>47</v>
      </c>
      <c r="L54" s="267"/>
      <c r="M54" s="267"/>
      <c r="N54" s="267"/>
      <c r="O54" s="267"/>
      <c r="P54" s="267"/>
      <c r="Q54" s="267"/>
      <c r="R54" s="267"/>
      <c r="S54" s="267"/>
      <c r="T54" s="221"/>
      <c r="U54" s="3"/>
      <c r="V54" s="267" t="s">
        <v>48</v>
      </c>
      <c r="W54" s="267"/>
      <c r="X54" s="267"/>
      <c r="Y54" s="267"/>
      <c r="Z54" s="267"/>
      <c r="AA54" s="267"/>
      <c r="AB54" s="267"/>
    </row>
    <row r="55" spans="1:29" ht="15" hidden="1" customHeight="1" x14ac:dyDescent="0.25">
      <c r="K55" s="267" t="s">
        <v>49</v>
      </c>
      <c r="L55" s="267"/>
      <c r="M55" s="267"/>
      <c r="N55" s="267"/>
      <c r="O55" s="267"/>
      <c r="P55" s="267"/>
      <c r="Q55" s="267"/>
      <c r="R55" s="267"/>
      <c r="S55" s="267"/>
      <c r="T55" s="221"/>
      <c r="U55" s="3"/>
      <c r="V55" s="267" t="s">
        <v>50</v>
      </c>
      <c r="W55" s="267"/>
      <c r="X55" s="267"/>
      <c r="Y55" s="267"/>
      <c r="Z55" s="267"/>
      <c r="AA55" s="267"/>
      <c r="AB55" s="267"/>
    </row>
    <row r="56" spans="1:29" ht="15" hidden="1" customHeight="1" x14ac:dyDescent="0.25">
      <c r="B56" s="360" t="s">
        <v>182</v>
      </c>
      <c r="C56" s="361"/>
      <c r="D56" s="361"/>
      <c r="E56" s="361"/>
      <c r="F56" s="361"/>
      <c r="G56" s="361"/>
      <c r="H56" s="362"/>
      <c r="J56" s="19"/>
      <c r="K56" s="298" t="s">
        <v>51</v>
      </c>
      <c r="L56" s="298"/>
      <c r="M56" s="298"/>
      <c r="N56" s="298"/>
      <c r="O56" s="298"/>
      <c r="P56" s="298"/>
      <c r="Q56" s="298"/>
      <c r="R56" s="298"/>
      <c r="S56" s="298"/>
      <c r="T56" s="3"/>
      <c r="U56" s="11"/>
      <c r="V56" s="298" t="s">
        <v>52</v>
      </c>
      <c r="W56" s="298"/>
      <c r="X56" s="298"/>
      <c r="Y56" s="298"/>
      <c r="Z56" s="298"/>
      <c r="AA56" s="298"/>
      <c r="AB56" s="298"/>
    </row>
    <row r="57" spans="1:29" ht="15" hidden="1" customHeight="1" x14ac:dyDescent="0.25">
      <c r="B57" s="267" t="s">
        <v>53</v>
      </c>
      <c r="C57" s="267"/>
      <c r="D57" s="216" t="s">
        <v>54</v>
      </c>
      <c r="E57" s="267" t="s">
        <v>55</v>
      </c>
      <c r="F57" s="267"/>
      <c r="G57" s="267" t="s">
        <v>56</v>
      </c>
      <c r="H57" s="267"/>
      <c r="I57" s="221"/>
      <c r="K57" s="267" t="s">
        <v>57</v>
      </c>
      <c r="L57" s="267"/>
      <c r="M57" s="267"/>
      <c r="N57" s="267"/>
      <c r="O57" s="267"/>
      <c r="P57" s="267"/>
      <c r="Q57" s="267"/>
      <c r="R57" s="267"/>
      <c r="S57" s="267"/>
      <c r="T57" s="221"/>
      <c r="U57" s="3"/>
      <c r="V57" s="267" t="s">
        <v>57</v>
      </c>
      <c r="W57" s="267"/>
      <c r="X57" s="267"/>
      <c r="Y57" s="12"/>
      <c r="Z57" s="267"/>
      <c r="AA57" s="267"/>
      <c r="AB57" s="267"/>
    </row>
    <row r="58" spans="1:29" ht="15" hidden="1" customHeight="1" x14ac:dyDescent="0.25">
      <c r="B58" s="267">
        <v>1</v>
      </c>
      <c r="C58" s="267"/>
      <c r="D58" s="12">
        <v>0</v>
      </c>
      <c r="E58" s="267">
        <v>80</v>
      </c>
      <c r="F58" s="267"/>
      <c r="G58" s="267">
        <v>85</v>
      </c>
      <c r="H58" s="267"/>
      <c r="I58" s="221"/>
      <c r="K58" s="272" t="s">
        <v>58</v>
      </c>
      <c r="L58" s="272"/>
      <c r="M58" s="272"/>
      <c r="N58" s="267" t="s">
        <v>59</v>
      </c>
      <c r="O58" s="267"/>
      <c r="P58" s="267"/>
      <c r="Q58" s="267" t="s">
        <v>60</v>
      </c>
      <c r="R58" s="267"/>
      <c r="S58" s="267"/>
      <c r="T58" s="221"/>
      <c r="U58" s="3"/>
      <c r="V58" s="272" t="s">
        <v>58</v>
      </c>
      <c r="W58" s="272"/>
      <c r="X58" s="272"/>
      <c r="Y58" s="12" t="s">
        <v>59</v>
      </c>
      <c r="Z58" s="267" t="s">
        <v>60</v>
      </c>
      <c r="AA58" s="267"/>
      <c r="AB58" s="267"/>
    </row>
    <row r="59" spans="1:29" ht="15" hidden="1" customHeight="1" x14ac:dyDescent="0.25">
      <c r="B59" s="267">
        <v>2</v>
      </c>
      <c r="C59" s="267"/>
      <c r="D59" s="12">
        <v>1</v>
      </c>
      <c r="E59" s="267">
        <v>80</v>
      </c>
      <c r="F59" s="267"/>
      <c r="G59" s="267">
        <v>85</v>
      </c>
      <c r="H59" s="267"/>
      <c r="I59" s="221"/>
      <c r="K59" s="272" t="s">
        <v>61</v>
      </c>
      <c r="L59" s="272"/>
      <c r="M59" s="272"/>
      <c r="N59" s="267">
        <v>0</v>
      </c>
      <c r="O59" s="267"/>
      <c r="P59" s="267"/>
      <c r="Q59" s="318">
        <v>1.0389999999999999</v>
      </c>
      <c r="R59" s="318"/>
      <c r="S59" s="318"/>
      <c r="T59" s="20"/>
      <c r="U59" s="3"/>
      <c r="V59" s="272" t="s">
        <v>61</v>
      </c>
      <c r="W59" s="272"/>
      <c r="X59" s="272"/>
      <c r="Y59" s="216">
        <v>0</v>
      </c>
      <c r="Z59" s="273">
        <v>1.0489999999999999</v>
      </c>
      <c r="AA59" s="273"/>
      <c r="AB59" s="273"/>
    </row>
    <row r="60" spans="1:29" ht="15" hidden="1" customHeight="1" x14ac:dyDescent="0.25">
      <c r="B60" s="267">
        <v>3</v>
      </c>
      <c r="C60" s="267"/>
      <c r="D60" s="12">
        <v>2</v>
      </c>
      <c r="E60" s="267">
        <v>80</v>
      </c>
      <c r="F60" s="267"/>
      <c r="G60" s="267">
        <v>85</v>
      </c>
      <c r="H60" s="267"/>
      <c r="I60" s="221"/>
      <c r="K60" s="272" t="s">
        <v>62</v>
      </c>
      <c r="L60" s="272"/>
      <c r="M60" s="272"/>
      <c r="N60" s="267">
        <v>1</v>
      </c>
      <c r="O60" s="267"/>
      <c r="P60" s="267"/>
      <c r="Q60" s="318">
        <v>1.1220000000000001</v>
      </c>
      <c r="R60" s="318"/>
      <c r="S60" s="318"/>
      <c r="T60" s="20"/>
      <c r="U60" s="3"/>
      <c r="V60" s="272" t="s">
        <v>62</v>
      </c>
      <c r="W60" s="272"/>
      <c r="X60" s="272"/>
      <c r="Y60" s="216">
        <v>1</v>
      </c>
      <c r="Z60" s="273">
        <v>1.1539999999999999</v>
      </c>
      <c r="AA60" s="273"/>
      <c r="AB60" s="273"/>
    </row>
    <row r="61" spans="1:29" ht="15" hidden="1" customHeight="1" x14ac:dyDescent="0.25">
      <c r="B61" s="267">
        <v>4</v>
      </c>
      <c r="C61" s="267"/>
      <c r="D61" s="12">
        <v>3</v>
      </c>
      <c r="E61" s="267">
        <v>80</v>
      </c>
      <c r="F61" s="267"/>
      <c r="G61" s="267">
        <v>85</v>
      </c>
      <c r="H61" s="267"/>
      <c r="I61" s="221"/>
      <c r="K61" s="272" t="s">
        <v>63</v>
      </c>
      <c r="L61" s="272"/>
      <c r="M61" s="272"/>
      <c r="N61" s="267">
        <v>2</v>
      </c>
      <c r="O61" s="267"/>
      <c r="P61" s="267"/>
      <c r="Q61" s="318">
        <v>1.212</v>
      </c>
      <c r="R61" s="318"/>
      <c r="S61" s="318"/>
      <c r="T61" s="20"/>
      <c r="U61" s="3"/>
      <c r="V61" s="272" t="s">
        <v>63</v>
      </c>
      <c r="W61" s="272"/>
      <c r="X61" s="272"/>
      <c r="Y61" s="216">
        <v>2</v>
      </c>
      <c r="Z61" s="273">
        <v>1.2689999999999999</v>
      </c>
      <c r="AA61" s="273"/>
      <c r="AB61" s="273"/>
    </row>
    <row r="62" spans="1:29" ht="15" hidden="1" customHeight="1" x14ac:dyDescent="0.25">
      <c r="B62" s="267">
        <v>5</v>
      </c>
      <c r="C62" s="267"/>
      <c r="D62" s="12">
        <v>4</v>
      </c>
      <c r="E62" s="267">
        <v>80</v>
      </c>
      <c r="F62" s="267"/>
      <c r="G62" s="267">
        <v>85</v>
      </c>
      <c r="H62" s="267"/>
      <c r="I62" s="221"/>
      <c r="K62" s="272" t="s">
        <v>64</v>
      </c>
      <c r="L62" s="272"/>
      <c r="M62" s="272"/>
      <c r="N62" s="267">
        <v>3</v>
      </c>
      <c r="O62" s="267"/>
      <c r="P62" s="267"/>
      <c r="Q62" s="318">
        <v>1.3089999999999999</v>
      </c>
      <c r="R62" s="318"/>
      <c r="S62" s="318"/>
      <c r="T62" s="20"/>
      <c r="U62" s="3"/>
      <c r="V62" s="272" t="s">
        <v>64</v>
      </c>
      <c r="W62" s="272"/>
      <c r="X62" s="272"/>
      <c r="Y62" s="216">
        <v>3</v>
      </c>
      <c r="Z62" s="273">
        <v>1.3959999999999999</v>
      </c>
      <c r="AA62" s="273"/>
      <c r="AB62" s="273"/>
    </row>
    <row r="63" spans="1:29" ht="15" hidden="1" customHeight="1" x14ac:dyDescent="0.25">
      <c r="B63" s="267">
        <v>6</v>
      </c>
      <c r="C63" s="267"/>
      <c r="D63" s="12">
        <v>5</v>
      </c>
      <c r="E63" s="267">
        <v>80</v>
      </c>
      <c r="F63" s="267"/>
      <c r="G63" s="267">
        <v>85</v>
      </c>
      <c r="H63" s="267"/>
      <c r="I63" s="221"/>
      <c r="K63" s="272" t="s">
        <v>65</v>
      </c>
      <c r="L63" s="272"/>
      <c r="M63" s="272"/>
      <c r="N63" s="267">
        <v>4</v>
      </c>
      <c r="O63" s="267"/>
      <c r="P63" s="267"/>
      <c r="Q63" s="318">
        <v>1.413</v>
      </c>
      <c r="R63" s="318"/>
      <c r="S63" s="318"/>
      <c r="T63" s="20"/>
      <c r="U63" s="3"/>
      <c r="V63" s="272" t="s">
        <v>65</v>
      </c>
      <c r="W63" s="272"/>
      <c r="X63" s="272"/>
      <c r="Y63" s="216">
        <v>4</v>
      </c>
      <c r="Z63" s="273">
        <v>1.536</v>
      </c>
      <c r="AA63" s="273"/>
      <c r="AB63" s="273"/>
    </row>
    <row r="64" spans="1:29" ht="15" hidden="1" customHeight="1" x14ac:dyDescent="0.25">
      <c r="B64" s="267">
        <v>7</v>
      </c>
      <c r="C64" s="267"/>
      <c r="D64" s="12">
        <v>6</v>
      </c>
      <c r="E64" s="267">
        <v>80</v>
      </c>
      <c r="F64" s="267"/>
      <c r="G64" s="267">
        <v>85</v>
      </c>
      <c r="H64" s="267"/>
      <c r="I64" s="221"/>
      <c r="K64" s="272" t="s">
        <v>66</v>
      </c>
      <c r="L64" s="272"/>
      <c r="M64" s="272"/>
      <c r="N64" s="267">
        <v>5</v>
      </c>
      <c r="O64" s="267"/>
      <c r="P64" s="267"/>
      <c r="Q64" s="318">
        <v>1.526</v>
      </c>
      <c r="R64" s="318"/>
      <c r="S64" s="318"/>
      <c r="T64" s="20"/>
      <c r="U64" s="3"/>
      <c r="V64" s="272" t="s">
        <v>66</v>
      </c>
      <c r="W64" s="272"/>
      <c r="X64" s="272"/>
      <c r="Y64" s="216">
        <v>5</v>
      </c>
      <c r="Z64" s="273">
        <v>1.6890000000000001</v>
      </c>
      <c r="AA64" s="273"/>
      <c r="AB64" s="273"/>
    </row>
    <row r="65" spans="2:28" ht="15" hidden="1" customHeight="1" x14ac:dyDescent="0.25">
      <c r="B65" s="267">
        <v>8</v>
      </c>
      <c r="C65" s="267"/>
      <c r="D65" s="12">
        <v>7</v>
      </c>
      <c r="E65" s="267">
        <v>80</v>
      </c>
      <c r="F65" s="267"/>
      <c r="G65" s="267">
        <v>85</v>
      </c>
      <c r="H65" s="267"/>
      <c r="I65" s="221"/>
      <c r="K65" s="272" t="s">
        <v>67</v>
      </c>
      <c r="L65" s="272"/>
      <c r="M65" s="272"/>
      <c r="N65" s="267">
        <v>6</v>
      </c>
      <c r="O65" s="267"/>
      <c r="P65" s="267"/>
      <c r="Q65" s="318">
        <v>1.649</v>
      </c>
      <c r="R65" s="318"/>
      <c r="S65" s="318"/>
      <c r="T65" s="20"/>
      <c r="U65" s="3"/>
      <c r="V65" s="272" t="s">
        <v>67</v>
      </c>
      <c r="W65" s="272"/>
      <c r="X65" s="272"/>
      <c r="Y65" s="216">
        <v>6</v>
      </c>
      <c r="Z65" s="273">
        <v>1.8580000000000001</v>
      </c>
      <c r="AA65" s="273"/>
      <c r="AB65" s="273"/>
    </row>
    <row r="66" spans="2:28" ht="15" hidden="1" customHeight="1" x14ac:dyDescent="0.25">
      <c r="B66" s="267">
        <v>9</v>
      </c>
      <c r="C66" s="267"/>
      <c r="D66" s="12">
        <v>8</v>
      </c>
      <c r="E66" s="267">
        <v>80</v>
      </c>
      <c r="F66" s="267"/>
      <c r="G66" s="267">
        <v>85</v>
      </c>
      <c r="H66" s="267"/>
      <c r="I66" s="221"/>
      <c r="K66" s="272" t="s">
        <v>68</v>
      </c>
      <c r="L66" s="272"/>
      <c r="M66" s="272"/>
      <c r="N66" s="267">
        <v>7</v>
      </c>
      <c r="O66" s="267"/>
      <c r="P66" s="267"/>
      <c r="Q66" s="318">
        <v>1.7809999999999999</v>
      </c>
      <c r="R66" s="318"/>
      <c r="S66" s="318"/>
      <c r="T66" s="20"/>
      <c r="U66" s="3"/>
      <c r="V66" s="272" t="s">
        <v>68</v>
      </c>
      <c r="W66" s="272"/>
      <c r="X66" s="272"/>
      <c r="Y66" s="216">
        <v>7</v>
      </c>
      <c r="Z66" s="273">
        <v>2.044</v>
      </c>
      <c r="AA66" s="273"/>
      <c r="AB66" s="273"/>
    </row>
    <row r="67" spans="2:28" ht="15" hidden="1" customHeight="1" x14ac:dyDescent="0.25">
      <c r="B67" s="267">
        <v>10</v>
      </c>
      <c r="C67" s="267"/>
      <c r="D67" s="12">
        <v>9</v>
      </c>
      <c r="E67" s="267">
        <v>80</v>
      </c>
      <c r="F67" s="267"/>
      <c r="G67" s="267">
        <v>85</v>
      </c>
      <c r="H67" s="267"/>
      <c r="I67" s="221"/>
      <c r="K67" s="272" t="s">
        <v>69</v>
      </c>
      <c r="L67" s="272"/>
      <c r="M67" s="272"/>
      <c r="N67" s="267">
        <v>8</v>
      </c>
      <c r="O67" s="267"/>
      <c r="P67" s="267"/>
      <c r="Q67" s="318">
        <v>1.923</v>
      </c>
      <c r="R67" s="318"/>
      <c r="S67" s="318"/>
      <c r="T67" s="20"/>
      <c r="U67" s="3"/>
      <c r="V67" s="272" t="s">
        <v>69</v>
      </c>
      <c r="W67" s="272"/>
      <c r="X67" s="272"/>
      <c r="Y67" s="216">
        <v>8</v>
      </c>
      <c r="Z67" s="273">
        <v>2.2480000000000002</v>
      </c>
      <c r="AA67" s="273"/>
      <c r="AB67" s="273"/>
    </row>
    <row r="68" spans="2:28" ht="15" hidden="1" customHeight="1" x14ac:dyDescent="0.25">
      <c r="B68" s="267">
        <v>11</v>
      </c>
      <c r="C68" s="267"/>
      <c r="D68" s="12">
        <v>10</v>
      </c>
      <c r="E68" s="267">
        <v>80</v>
      </c>
      <c r="F68" s="267"/>
      <c r="G68" s="267">
        <v>85</v>
      </c>
      <c r="H68" s="267"/>
      <c r="I68" s="221"/>
      <c r="K68" s="272" t="s">
        <v>70</v>
      </c>
      <c r="L68" s="272"/>
      <c r="M68" s="272"/>
      <c r="N68" s="267">
        <v>9</v>
      </c>
      <c r="O68" s="267"/>
      <c r="P68" s="267"/>
      <c r="Q68" s="318">
        <v>2.077</v>
      </c>
      <c r="R68" s="318"/>
      <c r="S68" s="318"/>
      <c r="T68" s="20"/>
      <c r="U68" s="3"/>
      <c r="V68" s="272" t="s">
        <v>70</v>
      </c>
      <c r="W68" s="272"/>
      <c r="X68" s="272"/>
      <c r="Y68" s="216">
        <v>9</v>
      </c>
      <c r="Z68" s="273">
        <v>2.4729999999999999</v>
      </c>
      <c r="AA68" s="273"/>
      <c r="AB68" s="273"/>
    </row>
    <row r="69" spans="2:28" ht="15" hidden="1" customHeight="1" x14ac:dyDescent="0.25">
      <c r="B69" s="267">
        <v>12</v>
      </c>
      <c r="C69" s="267"/>
      <c r="D69" s="12">
        <v>11</v>
      </c>
      <c r="E69" s="267">
        <v>95</v>
      </c>
      <c r="F69" s="267"/>
      <c r="G69" s="267">
        <v>105</v>
      </c>
      <c r="H69" s="267"/>
      <c r="I69" s="221"/>
      <c r="K69" s="272" t="s">
        <v>71</v>
      </c>
      <c r="L69" s="272"/>
      <c r="M69" s="272"/>
      <c r="N69" s="267">
        <v>10</v>
      </c>
      <c r="O69" s="267"/>
      <c r="P69" s="267"/>
      <c r="Q69" s="318">
        <v>2.2429999999999999</v>
      </c>
      <c r="R69" s="318"/>
      <c r="S69" s="318"/>
      <c r="T69" s="20"/>
      <c r="U69" s="3"/>
      <c r="V69" s="272" t="s">
        <v>71</v>
      </c>
      <c r="W69" s="272"/>
      <c r="X69" s="272"/>
      <c r="Y69" s="216">
        <v>10</v>
      </c>
      <c r="Z69" s="273">
        <v>2.72</v>
      </c>
      <c r="AA69" s="273"/>
      <c r="AB69" s="273"/>
    </row>
    <row r="70" spans="2:28" ht="15" hidden="1" customHeight="1" x14ac:dyDescent="0.25">
      <c r="B70" s="267">
        <v>13</v>
      </c>
      <c r="C70" s="267"/>
      <c r="D70" s="12">
        <v>12</v>
      </c>
      <c r="E70" s="267">
        <v>95</v>
      </c>
      <c r="F70" s="267"/>
      <c r="G70" s="267">
        <v>105</v>
      </c>
      <c r="H70" s="267"/>
      <c r="I70" s="221"/>
      <c r="K70" s="272" t="s">
        <v>72</v>
      </c>
      <c r="L70" s="272"/>
      <c r="M70" s="272"/>
      <c r="N70" s="267">
        <v>11</v>
      </c>
      <c r="O70" s="267"/>
      <c r="P70" s="267"/>
      <c r="Q70" s="318">
        <v>2.423</v>
      </c>
      <c r="R70" s="318"/>
      <c r="S70" s="318"/>
      <c r="T70" s="20"/>
      <c r="U70" s="3"/>
      <c r="V70" s="272" t="s">
        <v>72</v>
      </c>
      <c r="W70" s="272"/>
      <c r="X70" s="272"/>
      <c r="Y70" s="216">
        <v>11</v>
      </c>
      <c r="Z70" s="273">
        <v>2.992</v>
      </c>
      <c r="AA70" s="273"/>
      <c r="AB70" s="273"/>
    </row>
    <row r="71" spans="2:28" ht="15" hidden="1" customHeight="1" x14ac:dyDescent="0.25">
      <c r="B71" s="267">
        <v>14</v>
      </c>
      <c r="C71" s="267"/>
      <c r="D71" s="12">
        <v>13</v>
      </c>
      <c r="E71" s="267">
        <v>95</v>
      </c>
      <c r="F71" s="267"/>
      <c r="G71" s="267">
        <v>105</v>
      </c>
      <c r="H71" s="267"/>
      <c r="I71" s="221"/>
      <c r="K71" s="272" t="s">
        <v>73</v>
      </c>
      <c r="L71" s="272"/>
      <c r="M71" s="272"/>
      <c r="N71" s="267">
        <v>12</v>
      </c>
      <c r="O71" s="267"/>
      <c r="P71" s="267"/>
      <c r="Q71" s="318">
        <v>2.6160000000000001</v>
      </c>
      <c r="R71" s="318"/>
      <c r="S71" s="318"/>
      <c r="T71" s="20"/>
      <c r="U71" s="3"/>
      <c r="V71" s="272" t="s">
        <v>73</v>
      </c>
      <c r="W71" s="272"/>
      <c r="X71" s="272"/>
      <c r="Y71" s="216">
        <v>12</v>
      </c>
      <c r="Z71" s="273">
        <v>3.2919999999999998</v>
      </c>
      <c r="AA71" s="273"/>
      <c r="AB71" s="273"/>
    </row>
    <row r="72" spans="2:28" ht="15" hidden="1" customHeight="1" x14ac:dyDescent="0.25">
      <c r="B72" s="267">
        <v>15</v>
      </c>
      <c r="C72" s="267"/>
      <c r="D72" s="12">
        <v>14</v>
      </c>
      <c r="E72" s="267">
        <v>95</v>
      </c>
      <c r="F72" s="267"/>
      <c r="G72" s="267">
        <v>105</v>
      </c>
      <c r="H72" s="267"/>
      <c r="I72" s="221"/>
      <c r="K72" s="272" t="s">
        <v>74</v>
      </c>
      <c r="L72" s="272"/>
      <c r="M72" s="272"/>
      <c r="N72" s="267">
        <v>13</v>
      </c>
      <c r="O72" s="267"/>
      <c r="P72" s="267"/>
      <c r="Q72" s="318">
        <v>2.8260000000000001</v>
      </c>
      <c r="R72" s="318"/>
      <c r="S72" s="318"/>
      <c r="T72" s="20"/>
      <c r="U72" s="3"/>
      <c r="V72" s="272" t="s">
        <v>74</v>
      </c>
      <c r="W72" s="272"/>
      <c r="X72" s="272"/>
      <c r="Y72" s="216">
        <v>13</v>
      </c>
      <c r="Z72" s="273">
        <v>3.621</v>
      </c>
      <c r="AA72" s="273"/>
      <c r="AB72" s="273"/>
    </row>
    <row r="73" spans="2:28" ht="15" hidden="1" customHeight="1" x14ac:dyDescent="0.25">
      <c r="B73" s="267">
        <v>16</v>
      </c>
      <c r="C73" s="267"/>
      <c r="D73" s="12">
        <v>15</v>
      </c>
      <c r="E73" s="267">
        <v>120</v>
      </c>
      <c r="F73" s="267"/>
      <c r="G73" s="267">
        <v>135</v>
      </c>
      <c r="H73" s="267"/>
      <c r="I73" s="221"/>
      <c r="K73" s="272" t="s">
        <v>75</v>
      </c>
      <c r="L73" s="272"/>
      <c r="M73" s="272"/>
      <c r="N73" s="267">
        <v>14</v>
      </c>
      <c r="O73" s="267"/>
      <c r="P73" s="267"/>
      <c r="Q73" s="318">
        <v>3.052</v>
      </c>
      <c r="R73" s="318"/>
      <c r="S73" s="318"/>
      <c r="T73" s="20"/>
      <c r="U73" s="3"/>
      <c r="V73" s="272" t="s">
        <v>75</v>
      </c>
      <c r="W73" s="272"/>
      <c r="X73" s="272"/>
      <c r="Y73" s="216">
        <v>14</v>
      </c>
      <c r="Z73" s="273">
        <v>3.9830000000000001</v>
      </c>
      <c r="AA73" s="273"/>
      <c r="AB73" s="273"/>
    </row>
    <row r="74" spans="2:28" ht="15" hidden="1" customHeight="1" x14ac:dyDescent="0.25">
      <c r="B74" s="267">
        <v>17</v>
      </c>
      <c r="C74" s="267"/>
      <c r="D74" s="12">
        <v>16</v>
      </c>
      <c r="E74" s="267">
        <v>120</v>
      </c>
      <c r="F74" s="267"/>
      <c r="G74" s="267">
        <v>135</v>
      </c>
      <c r="H74" s="267"/>
      <c r="I74" s="221"/>
      <c r="K74" s="272" t="s">
        <v>76</v>
      </c>
      <c r="L74" s="272"/>
      <c r="M74" s="272"/>
      <c r="N74" s="267">
        <v>15</v>
      </c>
      <c r="O74" s="267"/>
      <c r="P74" s="267"/>
      <c r="Q74" s="318">
        <v>3.2959999999999998</v>
      </c>
      <c r="R74" s="318"/>
      <c r="S74" s="318"/>
      <c r="T74" s="20"/>
      <c r="U74" s="3"/>
      <c r="V74" s="272" t="s">
        <v>76</v>
      </c>
      <c r="W74" s="272"/>
      <c r="X74" s="272"/>
      <c r="Y74" s="216">
        <v>15</v>
      </c>
      <c r="Z74" s="273">
        <v>4.3810000000000002</v>
      </c>
      <c r="AA74" s="273"/>
      <c r="AB74" s="273"/>
    </row>
    <row r="75" spans="2:28" ht="15" hidden="1" customHeight="1" x14ac:dyDescent="0.25">
      <c r="B75" s="267">
        <v>18</v>
      </c>
      <c r="C75" s="267"/>
      <c r="D75" s="12">
        <v>17</v>
      </c>
      <c r="E75" s="267">
        <v>120</v>
      </c>
      <c r="F75" s="267"/>
      <c r="G75" s="267">
        <v>135</v>
      </c>
      <c r="H75" s="267"/>
      <c r="I75" s="221"/>
      <c r="K75" s="272" t="s">
        <v>77</v>
      </c>
      <c r="L75" s="272"/>
      <c r="M75" s="272"/>
      <c r="N75" s="267">
        <v>16</v>
      </c>
      <c r="O75" s="267"/>
      <c r="P75" s="267"/>
      <c r="Q75" s="318">
        <v>3.56</v>
      </c>
      <c r="R75" s="318"/>
      <c r="S75" s="318"/>
      <c r="T75" s="20"/>
      <c r="U75" s="3"/>
      <c r="V75" s="272" t="s">
        <v>77</v>
      </c>
      <c r="W75" s="272"/>
      <c r="X75" s="272"/>
      <c r="Y75" s="216">
        <v>16</v>
      </c>
      <c r="Z75" s="273">
        <v>4.819</v>
      </c>
      <c r="AA75" s="273"/>
      <c r="AB75" s="273"/>
    </row>
    <row r="76" spans="2:28" ht="15" hidden="1" customHeight="1" x14ac:dyDescent="0.25">
      <c r="B76" s="267">
        <v>19</v>
      </c>
      <c r="C76" s="267"/>
      <c r="D76" s="12">
        <v>18</v>
      </c>
      <c r="E76" s="267">
        <v>120</v>
      </c>
      <c r="F76" s="267"/>
      <c r="G76" s="267">
        <v>135</v>
      </c>
      <c r="H76" s="267"/>
      <c r="I76" s="221"/>
      <c r="K76" s="272" t="s">
        <v>78</v>
      </c>
      <c r="L76" s="272"/>
      <c r="M76" s="272"/>
      <c r="N76" s="267">
        <v>17</v>
      </c>
      <c r="O76" s="267"/>
      <c r="P76" s="267"/>
      <c r="Q76" s="318">
        <v>3.8450000000000002</v>
      </c>
      <c r="R76" s="318"/>
      <c r="S76" s="318"/>
      <c r="T76" s="20"/>
      <c r="U76" s="3"/>
      <c r="V76" s="272" t="s">
        <v>78</v>
      </c>
      <c r="W76" s="272"/>
      <c r="X76" s="272"/>
      <c r="Y76" s="216">
        <v>17</v>
      </c>
      <c r="Z76" s="273">
        <v>5.3010000000000002</v>
      </c>
      <c r="AA76" s="273"/>
      <c r="AB76" s="273"/>
    </row>
    <row r="77" spans="2:28" ht="15" hidden="1" customHeight="1" x14ac:dyDescent="0.25">
      <c r="B77" s="267">
        <v>20</v>
      </c>
      <c r="C77" s="267"/>
      <c r="D77" s="12">
        <v>19</v>
      </c>
      <c r="E77" s="267">
        <v>120</v>
      </c>
      <c r="F77" s="267"/>
      <c r="G77" s="267">
        <v>135</v>
      </c>
      <c r="H77" s="267"/>
      <c r="I77" s="221"/>
      <c r="K77" s="272" t="s">
        <v>79</v>
      </c>
      <c r="L77" s="272"/>
      <c r="M77" s="272"/>
      <c r="N77" s="267">
        <v>18</v>
      </c>
      <c r="O77" s="267"/>
      <c r="P77" s="267"/>
      <c r="Q77" s="318">
        <v>4.1520000000000001</v>
      </c>
      <c r="R77" s="318"/>
      <c r="S77" s="318"/>
      <c r="T77" s="20"/>
      <c r="U77" s="3"/>
      <c r="V77" s="272" t="s">
        <v>79</v>
      </c>
      <c r="W77" s="272"/>
      <c r="X77" s="272"/>
      <c r="Y77" s="216">
        <v>18</v>
      </c>
      <c r="Z77" s="273">
        <v>5.81</v>
      </c>
      <c r="AA77" s="273"/>
      <c r="AB77" s="273"/>
    </row>
    <row r="78" spans="2:28" ht="15" hidden="1" customHeight="1" x14ac:dyDescent="0.25">
      <c r="B78" s="267">
        <v>21</v>
      </c>
      <c r="C78" s="267"/>
      <c r="D78" s="12">
        <v>20</v>
      </c>
      <c r="E78" s="267">
        <v>150</v>
      </c>
      <c r="F78" s="267"/>
      <c r="G78" s="267">
        <v>170</v>
      </c>
      <c r="H78" s="267"/>
      <c r="I78" s="221"/>
      <c r="K78" s="272" t="s">
        <v>80</v>
      </c>
      <c r="L78" s="272"/>
      <c r="M78" s="272"/>
      <c r="N78" s="267">
        <v>19</v>
      </c>
      <c r="O78" s="267"/>
      <c r="P78" s="267"/>
      <c r="Q78" s="318">
        <v>4.4850000000000003</v>
      </c>
      <c r="R78" s="318"/>
      <c r="S78" s="318"/>
      <c r="T78" s="20"/>
      <c r="U78" s="3"/>
      <c r="V78" s="272" t="s">
        <v>80</v>
      </c>
      <c r="W78" s="272"/>
      <c r="X78" s="272"/>
      <c r="Y78" s="216">
        <v>19</v>
      </c>
      <c r="Z78" s="273">
        <v>6.4139999999999997</v>
      </c>
      <c r="AA78" s="273"/>
      <c r="AB78" s="273"/>
    </row>
    <row r="79" spans="2:28" ht="15" hidden="1" customHeight="1" x14ac:dyDescent="0.25">
      <c r="B79" s="267">
        <v>22</v>
      </c>
      <c r="C79" s="267"/>
      <c r="D79" s="12">
        <v>21</v>
      </c>
      <c r="E79" s="267">
        <v>150</v>
      </c>
      <c r="F79" s="267"/>
      <c r="G79" s="267">
        <v>170</v>
      </c>
      <c r="H79" s="267"/>
      <c r="I79" s="221"/>
      <c r="K79" s="272" t="s">
        <v>81</v>
      </c>
      <c r="L79" s="272"/>
      <c r="M79" s="272"/>
      <c r="N79" s="267">
        <v>20</v>
      </c>
      <c r="O79" s="267"/>
      <c r="P79" s="267"/>
      <c r="Q79" s="318">
        <v>4.843</v>
      </c>
      <c r="R79" s="318"/>
      <c r="S79" s="318"/>
      <c r="T79" s="20"/>
      <c r="U79" s="3"/>
      <c r="V79" s="272" t="s">
        <v>81</v>
      </c>
      <c r="W79" s="272"/>
      <c r="X79" s="272"/>
      <c r="Y79" s="216">
        <v>20</v>
      </c>
      <c r="Z79" s="273">
        <v>7.056</v>
      </c>
      <c r="AA79" s="273"/>
      <c r="AB79" s="273"/>
    </row>
    <row r="80" spans="2:28" ht="15" hidden="1" customHeight="1" x14ac:dyDescent="0.25">
      <c r="B80" s="267">
        <v>23</v>
      </c>
      <c r="C80" s="267"/>
      <c r="D80" s="12">
        <v>22</v>
      </c>
      <c r="E80" s="267">
        <v>150</v>
      </c>
      <c r="F80" s="267"/>
      <c r="G80" s="267">
        <v>170</v>
      </c>
      <c r="H80" s="267"/>
      <c r="I80" s="221"/>
      <c r="K80" s="272" t="s">
        <v>82</v>
      </c>
      <c r="L80" s="272"/>
      <c r="M80" s="272"/>
      <c r="N80" s="267">
        <v>21</v>
      </c>
      <c r="O80" s="267"/>
      <c r="P80" s="267"/>
      <c r="Q80" s="318">
        <v>5.2309999999999999</v>
      </c>
      <c r="R80" s="318"/>
      <c r="S80" s="318"/>
      <c r="T80" s="20"/>
      <c r="U80" s="3"/>
      <c r="V80" s="272" t="s">
        <v>82</v>
      </c>
      <c r="W80" s="272"/>
      <c r="X80" s="272"/>
      <c r="Y80" s="216">
        <v>21</v>
      </c>
      <c r="Z80" s="273">
        <v>7.7610000000000001</v>
      </c>
      <c r="AA80" s="273"/>
      <c r="AB80" s="273"/>
    </row>
    <row r="81" spans="2:28" ht="15" hidden="1" customHeight="1" x14ac:dyDescent="0.25">
      <c r="B81" s="267">
        <v>24</v>
      </c>
      <c r="C81" s="267"/>
      <c r="D81" s="12">
        <v>23</v>
      </c>
      <c r="E81" s="267">
        <v>150</v>
      </c>
      <c r="F81" s="267"/>
      <c r="G81" s="267">
        <v>170</v>
      </c>
      <c r="H81" s="267"/>
      <c r="I81" s="221"/>
      <c r="K81" s="272" t="s">
        <v>83</v>
      </c>
      <c r="L81" s="272"/>
      <c r="M81" s="272"/>
      <c r="N81" s="267">
        <v>22</v>
      </c>
      <c r="O81" s="267"/>
      <c r="P81" s="267"/>
      <c r="Q81" s="318">
        <v>5.649</v>
      </c>
      <c r="R81" s="318"/>
      <c r="S81" s="318"/>
      <c r="T81" s="20"/>
      <c r="U81" s="3"/>
      <c r="V81" s="272" t="s">
        <v>83</v>
      </c>
      <c r="W81" s="272"/>
      <c r="X81" s="272"/>
      <c r="Y81" s="216">
        <v>22</v>
      </c>
      <c r="Z81" s="273">
        <v>8.5370000000000008</v>
      </c>
      <c r="AA81" s="273"/>
      <c r="AB81" s="273"/>
    </row>
    <row r="82" spans="2:28" ht="15" hidden="1" customHeight="1" x14ac:dyDescent="0.25">
      <c r="B82" s="267">
        <v>25</v>
      </c>
      <c r="C82" s="267"/>
      <c r="D82" s="12">
        <v>24</v>
      </c>
      <c r="E82" s="267">
        <v>150</v>
      </c>
      <c r="F82" s="267"/>
      <c r="G82" s="267">
        <v>170</v>
      </c>
      <c r="H82" s="267"/>
      <c r="I82" s="221"/>
      <c r="K82" s="272" t="s">
        <v>84</v>
      </c>
      <c r="L82" s="272"/>
      <c r="M82" s="272"/>
      <c r="N82" s="267">
        <v>23</v>
      </c>
      <c r="O82" s="267"/>
      <c r="P82" s="267"/>
      <c r="Q82" s="318">
        <v>6.101</v>
      </c>
      <c r="R82" s="318"/>
      <c r="S82" s="318"/>
      <c r="T82" s="20"/>
      <c r="U82" s="3"/>
      <c r="V82" s="272" t="s">
        <v>84</v>
      </c>
      <c r="W82" s="272"/>
      <c r="X82" s="272"/>
      <c r="Y82" s="216">
        <v>23</v>
      </c>
      <c r="Z82" s="273">
        <v>9.39</v>
      </c>
      <c r="AA82" s="273"/>
      <c r="AB82" s="273"/>
    </row>
    <row r="83" spans="2:28" hidden="1" x14ac:dyDescent="0.25">
      <c r="B83" s="267">
        <v>26</v>
      </c>
      <c r="C83" s="267"/>
      <c r="D83" s="12">
        <v>25</v>
      </c>
      <c r="E83" s="267">
        <v>150</v>
      </c>
      <c r="F83" s="267"/>
      <c r="G83" s="267">
        <v>170</v>
      </c>
      <c r="H83" s="267"/>
      <c r="I83" s="221"/>
      <c r="K83" s="272" t="s">
        <v>85</v>
      </c>
      <c r="L83" s="272"/>
      <c r="M83" s="272"/>
      <c r="N83" s="267">
        <v>24</v>
      </c>
      <c r="O83" s="267"/>
      <c r="P83" s="267"/>
      <c r="Q83" s="318">
        <v>6.5890000000000004</v>
      </c>
      <c r="R83" s="318"/>
      <c r="S83" s="318"/>
      <c r="T83" s="20"/>
      <c r="U83" s="3"/>
      <c r="V83" s="13"/>
      <c r="W83" s="13"/>
      <c r="X83" s="13"/>
      <c r="Y83" s="3"/>
      <c r="Z83" s="3"/>
      <c r="AA83" s="3"/>
      <c r="AB83" s="3"/>
    </row>
    <row r="84" spans="2:28" hidden="1" x14ac:dyDescent="0.25">
      <c r="B84" s="267">
        <v>27</v>
      </c>
      <c r="C84" s="267"/>
      <c r="D84" s="12">
        <v>26</v>
      </c>
      <c r="E84" s="267">
        <v>150</v>
      </c>
      <c r="F84" s="267"/>
      <c r="G84" s="267">
        <v>170</v>
      </c>
      <c r="H84" s="267"/>
      <c r="I84" s="221"/>
      <c r="K84" s="272" t="s">
        <v>86</v>
      </c>
      <c r="L84" s="272"/>
      <c r="M84" s="272"/>
      <c r="N84" s="267">
        <v>25</v>
      </c>
      <c r="O84" s="267"/>
      <c r="P84" s="267"/>
      <c r="Q84" s="318">
        <v>7.117</v>
      </c>
      <c r="R84" s="318"/>
      <c r="S84" s="318"/>
      <c r="T84" s="20"/>
      <c r="U84" s="3"/>
      <c r="V84" s="13"/>
      <c r="W84" s="13"/>
      <c r="X84" s="13"/>
      <c r="Y84" s="3"/>
      <c r="Z84" s="3"/>
      <c r="AA84" s="3"/>
      <c r="AB84" s="3"/>
    </row>
    <row r="85" spans="2:28" hidden="1" x14ac:dyDescent="0.25">
      <c r="B85" s="267">
        <v>28</v>
      </c>
      <c r="C85" s="267"/>
      <c r="D85" s="12">
        <v>27</v>
      </c>
      <c r="E85" s="267">
        <v>150</v>
      </c>
      <c r="F85" s="267"/>
      <c r="G85" s="267">
        <v>170</v>
      </c>
      <c r="H85" s="267"/>
      <c r="I85" s="221"/>
      <c r="K85" s="272" t="s">
        <v>87</v>
      </c>
      <c r="L85" s="272"/>
      <c r="M85" s="272"/>
      <c r="N85" s="267">
        <v>26</v>
      </c>
      <c r="O85" s="267"/>
      <c r="P85" s="267"/>
      <c r="Q85" s="318">
        <v>7.6859999999999999</v>
      </c>
      <c r="R85" s="318"/>
      <c r="S85" s="318"/>
      <c r="T85" s="20"/>
      <c r="U85" s="3"/>
      <c r="V85" s="13"/>
      <c r="W85" s="13"/>
      <c r="X85" s="13"/>
      <c r="Y85" s="3"/>
      <c r="Z85" s="3"/>
      <c r="AA85" s="3"/>
      <c r="AB85" s="3"/>
    </row>
    <row r="86" spans="2:28" hidden="1" x14ac:dyDescent="0.25">
      <c r="B86" s="267">
        <v>29</v>
      </c>
      <c r="C86" s="267"/>
      <c r="D86" s="12">
        <v>28</v>
      </c>
      <c r="E86" s="267">
        <v>150</v>
      </c>
      <c r="F86" s="267"/>
      <c r="G86" s="267">
        <v>170</v>
      </c>
      <c r="H86" s="267"/>
      <c r="I86" s="221"/>
      <c r="K86" s="272" t="s">
        <v>88</v>
      </c>
      <c r="L86" s="272"/>
      <c r="M86" s="272"/>
      <c r="N86" s="267">
        <v>27</v>
      </c>
      <c r="O86" s="267"/>
      <c r="P86" s="267"/>
      <c r="Q86" s="318">
        <v>8.3010000000000002</v>
      </c>
      <c r="R86" s="318"/>
      <c r="S86" s="318"/>
      <c r="T86" s="20"/>
      <c r="U86" s="3"/>
      <c r="V86" s="13"/>
      <c r="W86" s="13"/>
      <c r="X86" s="13"/>
      <c r="Y86" s="3"/>
      <c r="Z86" s="3"/>
      <c r="AA86" s="3"/>
      <c r="AB86" s="3"/>
    </row>
    <row r="87" spans="2:28" hidden="1" x14ac:dyDescent="0.25">
      <c r="K87" s="272" t="s">
        <v>89</v>
      </c>
      <c r="L87" s="272"/>
      <c r="M87" s="272"/>
      <c r="N87" s="267">
        <v>28</v>
      </c>
      <c r="O87" s="267"/>
      <c r="P87" s="267"/>
      <c r="Q87" s="318">
        <v>8.9649999999999999</v>
      </c>
      <c r="R87" s="318"/>
      <c r="S87" s="318"/>
      <c r="T87" s="20"/>
      <c r="U87" s="3"/>
      <c r="V87" s="13"/>
      <c r="W87" s="13"/>
      <c r="X87" s="13"/>
      <c r="Y87" s="3"/>
      <c r="Z87" s="3"/>
      <c r="AA87" s="3"/>
      <c r="AB87" s="3"/>
    </row>
    <row r="88" spans="2:28" hidden="1" x14ac:dyDescent="0.25">
      <c r="K88" s="272" t="s">
        <v>90</v>
      </c>
      <c r="L88" s="272"/>
      <c r="M88" s="272"/>
      <c r="N88" s="267">
        <v>29</v>
      </c>
      <c r="O88" s="267"/>
      <c r="P88" s="267"/>
      <c r="Q88" s="318">
        <v>9.6820000000000004</v>
      </c>
      <c r="R88" s="318"/>
      <c r="S88" s="318"/>
      <c r="T88" s="20"/>
      <c r="U88" s="3"/>
      <c r="V88" s="13"/>
      <c r="W88" s="13"/>
      <c r="X88" s="13"/>
      <c r="Y88" s="3"/>
      <c r="Z88" s="3"/>
      <c r="AA88" s="3"/>
      <c r="AB88" s="3"/>
    </row>
    <row r="89" spans="2:28" hidden="1" x14ac:dyDescent="0.25">
      <c r="K89" s="272" t="s">
        <v>91</v>
      </c>
      <c r="L89" s="272"/>
      <c r="M89" s="272"/>
      <c r="N89" s="267">
        <v>30</v>
      </c>
      <c r="O89" s="267"/>
      <c r="P89" s="267"/>
      <c r="Q89" s="318">
        <v>10.457000000000001</v>
      </c>
      <c r="R89" s="318"/>
      <c r="S89" s="318"/>
      <c r="T89" s="20"/>
      <c r="U89" s="3"/>
      <c r="V89" s="13"/>
      <c r="W89" s="13"/>
      <c r="X89" s="13"/>
      <c r="Y89" s="3"/>
      <c r="Z89" s="3"/>
      <c r="AA89" s="3"/>
      <c r="AB89" s="3"/>
    </row>
    <row r="90" spans="2:28" hidden="1" x14ac:dyDescent="0.25">
      <c r="K90" s="272" t="s">
        <v>92</v>
      </c>
      <c r="L90" s="272"/>
      <c r="M90" s="272"/>
      <c r="N90" s="267">
        <v>31</v>
      </c>
      <c r="O90" s="267"/>
      <c r="P90" s="267"/>
      <c r="Q90" s="318">
        <v>11.294</v>
      </c>
      <c r="R90" s="318"/>
      <c r="S90" s="318"/>
      <c r="T90" s="20"/>
      <c r="U90" s="3"/>
      <c r="V90" s="13"/>
      <c r="W90" s="13"/>
      <c r="X90" s="13"/>
      <c r="Y90" s="3"/>
      <c r="Z90" s="3"/>
      <c r="AA90" s="3"/>
      <c r="AB90" s="3"/>
    </row>
    <row r="91" spans="2:28" hidden="1" x14ac:dyDescent="0.25">
      <c r="K91" s="272" t="s">
        <v>93</v>
      </c>
      <c r="L91" s="272"/>
      <c r="M91" s="272"/>
      <c r="N91" s="267">
        <v>32</v>
      </c>
      <c r="O91" s="267"/>
      <c r="P91" s="267"/>
      <c r="Q91" s="318">
        <v>12.196999999999999</v>
      </c>
      <c r="R91" s="318"/>
      <c r="S91" s="318"/>
      <c r="T91" s="20"/>
      <c r="U91" s="3"/>
      <c r="V91" s="13"/>
      <c r="W91" s="13"/>
      <c r="X91" s="13"/>
      <c r="Y91" s="3"/>
      <c r="Z91" s="3"/>
      <c r="AA91" s="3"/>
      <c r="AB91" s="3"/>
    </row>
    <row r="92" spans="2:28" hidden="1" x14ac:dyDescent="0.25">
      <c r="K92" s="272" t="s">
        <v>94</v>
      </c>
      <c r="L92" s="272"/>
      <c r="M92" s="272"/>
      <c r="N92" s="267">
        <v>33</v>
      </c>
      <c r="O92" s="267"/>
      <c r="P92" s="267"/>
      <c r="Q92" s="318">
        <v>13.173</v>
      </c>
      <c r="R92" s="318"/>
      <c r="S92" s="318"/>
      <c r="T92" s="20"/>
      <c r="U92" s="3"/>
      <c r="V92" s="13"/>
      <c r="W92" s="13"/>
      <c r="X92" s="13"/>
      <c r="Y92" s="3"/>
      <c r="Z92" s="3"/>
      <c r="AA92" s="3"/>
      <c r="AB92" s="3"/>
    </row>
    <row r="93" spans="2:28" hidden="1" x14ac:dyDescent="0.25"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</row>
    <row r="94" spans="2:28" hidden="1" x14ac:dyDescent="0.25"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</row>
    <row r="95" spans="2:28" x14ac:dyDescent="0.25"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</row>
    <row r="96" spans="2:28" x14ac:dyDescent="0.25"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</row>
    <row r="97" spans="13:28" x14ac:dyDescent="0.25"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</row>
    <row r="98" spans="13:28" x14ac:dyDescent="0.25"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</row>
    <row r="99" spans="13:28" x14ac:dyDescent="0.25"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</row>
    <row r="100" spans="13:28" x14ac:dyDescent="0.25"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</row>
    <row r="101" spans="13:28" x14ac:dyDescent="0.25"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</row>
    <row r="102" spans="13:28" x14ac:dyDescent="0.25"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</row>
    <row r="103" spans="13:28" x14ac:dyDescent="0.25"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</row>
    <row r="104" spans="13:28" ht="15" customHeight="1" x14ac:dyDescent="0.25"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</row>
    <row r="105" spans="13:28" x14ac:dyDescent="0.25"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</row>
    <row r="106" spans="13:28" x14ac:dyDescent="0.25"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</row>
    <row r="107" spans="13:28" x14ac:dyDescent="0.25"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</row>
    <row r="108" spans="13:28" ht="15" customHeight="1" x14ac:dyDescent="0.25"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</row>
    <row r="109" spans="13:28" x14ac:dyDescent="0.25"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</row>
    <row r="110" spans="13:28" x14ac:dyDescent="0.25"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</row>
    <row r="111" spans="13:28" ht="15" customHeight="1" x14ac:dyDescent="0.25"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</row>
    <row r="112" spans="13:28" x14ac:dyDescent="0.25"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</row>
    <row r="113" spans="13:28" x14ac:dyDescent="0.25"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</row>
    <row r="114" spans="13:28" x14ac:dyDescent="0.25"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</row>
    <row r="115" spans="13:28" x14ac:dyDescent="0.25"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</row>
    <row r="116" spans="13:28" x14ac:dyDescent="0.25"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</row>
    <row r="117" spans="13:28" ht="15" customHeight="1" x14ac:dyDescent="0.25"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</row>
    <row r="118" spans="13:28" x14ac:dyDescent="0.25"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</row>
    <row r="119" spans="13:28" x14ac:dyDescent="0.25"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</row>
    <row r="120" spans="13:28" x14ac:dyDescent="0.25"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</row>
    <row r="121" spans="13:28" ht="15" customHeight="1" x14ac:dyDescent="0.25"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</row>
    <row r="122" spans="13:28" x14ac:dyDescent="0.25"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</row>
    <row r="123" spans="13:28" x14ac:dyDescent="0.25"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</row>
    <row r="124" spans="13:28" x14ac:dyDescent="0.25"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</row>
    <row r="125" spans="13:28" x14ac:dyDescent="0.25"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</row>
    <row r="126" spans="13:28" x14ac:dyDescent="0.25"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</row>
    <row r="127" spans="13:28" x14ac:dyDescent="0.25"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</row>
    <row r="128" spans="13:28" x14ac:dyDescent="0.25"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</row>
    <row r="129" spans="13:28" x14ac:dyDescent="0.25"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</row>
    <row r="130" spans="13:28" x14ac:dyDescent="0.25"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/>
    </row>
  </sheetData>
  <sheetProtection sheet="1" selectLockedCells="1"/>
  <dataConsolidate/>
  <mergeCells count="448">
    <mergeCell ref="A47:C49"/>
    <mergeCell ref="E47:K47"/>
    <mergeCell ref="M42:N42"/>
    <mergeCell ref="M43:N43"/>
    <mergeCell ref="M44:N44"/>
    <mergeCell ref="M45:N45"/>
    <mergeCell ref="M46:N46"/>
    <mergeCell ref="M47:N47"/>
    <mergeCell ref="M48:N48"/>
    <mergeCell ref="M49:N49"/>
    <mergeCell ref="A14:G14"/>
    <mergeCell ref="A42:C46"/>
    <mergeCell ref="E45:K45"/>
    <mergeCell ref="E46:K46"/>
    <mergeCell ref="E43:K43"/>
    <mergeCell ref="E44:K44"/>
    <mergeCell ref="E31:K31"/>
    <mergeCell ref="M31:O31"/>
    <mergeCell ref="T25:U25"/>
    <mergeCell ref="E23:K23"/>
    <mergeCell ref="M23:O23"/>
    <mergeCell ref="E42:K42"/>
    <mergeCell ref="Q23:R23"/>
    <mergeCell ref="M25:O25"/>
    <mergeCell ref="Q25:R25"/>
    <mergeCell ref="R42:S43"/>
    <mergeCell ref="R44:S44"/>
    <mergeCell ref="R45:S45"/>
    <mergeCell ref="R46:S46"/>
    <mergeCell ref="N17:U17"/>
    <mergeCell ref="N18:P18"/>
    <mergeCell ref="S18:U18"/>
    <mergeCell ref="N16:AB16"/>
    <mergeCell ref="A22:C24"/>
    <mergeCell ref="M40:N40"/>
    <mergeCell ref="R40:S40"/>
    <mergeCell ref="M39:S39"/>
    <mergeCell ref="Q31:R31"/>
    <mergeCell ref="T31:U31"/>
    <mergeCell ref="T32:U32"/>
    <mergeCell ref="R47:S47"/>
    <mergeCell ref="M34:S34"/>
    <mergeCell ref="R35:S35"/>
    <mergeCell ref="R37:S37"/>
    <mergeCell ref="M36:S36"/>
    <mergeCell ref="Q21:R21"/>
    <mergeCell ref="T21:U21"/>
    <mergeCell ref="W21:X21"/>
    <mergeCell ref="Q18:R18"/>
    <mergeCell ref="Y17:AB17"/>
    <mergeCell ref="Y18:AB18"/>
    <mergeCell ref="Y19:AB19"/>
    <mergeCell ref="B62:C62"/>
    <mergeCell ref="E62:F62"/>
    <mergeCell ref="G62:H62"/>
    <mergeCell ref="K62:M62"/>
    <mergeCell ref="N62:P62"/>
    <mergeCell ref="Q62:S62"/>
    <mergeCell ref="B61:C61"/>
    <mergeCell ref="E61:F61"/>
    <mergeCell ref="G61:H61"/>
    <mergeCell ref="K61:M61"/>
    <mergeCell ref="N61:P61"/>
    <mergeCell ref="Q61:S61"/>
    <mergeCell ref="Z57:AB57"/>
    <mergeCell ref="B56:H56"/>
    <mergeCell ref="K60:M60"/>
    <mergeCell ref="Q60:S60"/>
    <mergeCell ref="Z58:AB58"/>
    <mergeCell ref="A51:C51"/>
    <mergeCell ref="B58:C58"/>
    <mergeCell ref="E58:F58"/>
    <mergeCell ref="G58:H58"/>
    <mergeCell ref="K58:M58"/>
    <mergeCell ref="N58:P58"/>
    <mergeCell ref="Q58:S58"/>
    <mergeCell ref="V59:X59"/>
    <mergeCell ref="V60:X60"/>
    <mergeCell ref="B57:C57"/>
    <mergeCell ref="K55:S55"/>
    <mergeCell ref="N60:P60"/>
    <mergeCell ref="B60:C60"/>
    <mergeCell ref="E60:F60"/>
    <mergeCell ref="G60:H60"/>
    <mergeCell ref="K56:S56"/>
    <mergeCell ref="B54:H54"/>
    <mergeCell ref="R51:S51"/>
    <mergeCell ref="A52:C52"/>
    <mergeCell ref="E52:K52"/>
    <mergeCell ref="K54:S54"/>
    <mergeCell ref="M51:N51"/>
    <mergeCell ref="E51:K51"/>
    <mergeCell ref="N57:P57"/>
    <mergeCell ref="I14:J14"/>
    <mergeCell ref="I12:J12"/>
    <mergeCell ref="A12:E12"/>
    <mergeCell ref="F12:G12"/>
    <mergeCell ref="Z78:AB78"/>
    <mergeCell ref="Z79:AB79"/>
    <mergeCell ref="A19:C19"/>
    <mergeCell ref="E19:G19"/>
    <mergeCell ref="I19:K19"/>
    <mergeCell ref="A18:C18"/>
    <mergeCell ref="E18:G18"/>
    <mergeCell ref="I18:K18"/>
    <mergeCell ref="A21:C21"/>
    <mergeCell ref="E21:K21"/>
    <mergeCell ref="M21:O21"/>
    <mergeCell ref="N19:X19"/>
    <mergeCell ref="E24:K24"/>
    <mergeCell ref="M24:O24"/>
    <mergeCell ref="Q24:R24"/>
    <mergeCell ref="T24:U24"/>
    <mergeCell ref="W24:X24"/>
    <mergeCell ref="B59:C59"/>
    <mergeCell ref="V61:X61"/>
    <mergeCell ref="V62:X62"/>
    <mergeCell ref="I9:J9"/>
    <mergeCell ref="N7:U7"/>
    <mergeCell ref="N8:U8"/>
    <mergeCell ref="N9:U9"/>
    <mergeCell ref="N10:U10"/>
    <mergeCell ref="A7:G7"/>
    <mergeCell ref="A8:G8"/>
    <mergeCell ref="A13:G13"/>
    <mergeCell ref="A11:E11"/>
    <mergeCell ref="F11:G11"/>
    <mergeCell ref="N12:U12"/>
    <mergeCell ref="B64:C64"/>
    <mergeCell ref="E64:F64"/>
    <mergeCell ref="G64:H64"/>
    <mergeCell ref="K64:M64"/>
    <mergeCell ref="N64:P64"/>
    <mergeCell ref="Q64:S64"/>
    <mergeCell ref="B63:C63"/>
    <mergeCell ref="E63:F63"/>
    <mergeCell ref="I6:J6"/>
    <mergeCell ref="I7:J7"/>
    <mergeCell ref="A6:B6"/>
    <mergeCell ref="C6:G6"/>
    <mergeCell ref="N6:AB6"/>
    <mergeCell ref="A16:C17"/>
    <mergeCell ref="E16:G17"/>
    <mergeCell ref="I16:K17"/>
    <mergeCell ref="A9:E9"/>
    <mergeCell ref="I8:J8"/>
    <mergeCell ref="I13:J13"/>
    <mergeCell ref="I11:J11"/>
    <mergeCell ref="A10:E10"/>
    <mergeCell ref="F9:G9"/>
    <mergeCell ref="F10:G10"/>
    <mergeCell ref="I10:J10"/>
    <mergeCell ref="B66:C66"/>
    <mergeCell ref="E66:F66"/>
    <mergeCell ref="G66:H66"/>
    <mergeCell ref="K66:M66"/>
    <mergeCell ref="N66:P66"/>
    <mergeCell ref="Q66:S66"/>
    <mergeCell ref="B65:C65"/>
    <mergeCell ref="E65:F65"/>
    <mergeCell ref="G65:H65"/>
    <mergeCell ref="K65:M65"/>
    <mergeCell ref="N65:P65"/>
    <mergeCell ref="Q65:S65"/>
    <mergeCell ref="B69:C69"/>
    <mergeCell ref="E69:F69"/>
    <mergeCell ref="G69:H69"/>
    <mergeCell ref="K69:M69"/>
    <mergeCell ref="N69:P69"/>
    <mergeCell ref="Q69:S69"/>
    <mergeCell ref="B67:C67"/>
    <mergeCell ref="E67:F67"/>
    <mergeCell ref="G67:H67"/>
    <mergeCell ref="K67:M67"/>
    <mergeCell ref="N67:P67"/>
    <mergeCell ref="Q67:S67"/>
    <mergeCell ref="B68:C68"/>
    <mergeCell ref="E68:F68"/>
    <mergeCell ref="G68:H68"/>
    <mergeCell ref="K68:M68"/>
    <mergeCell ref="N68:P68"/>
    <mergeCell ref="Q68:S68"/>
    <mergeCell ref="B70:C70"/>
    <mergeCell ref="E70:F70"/>
    <mergeCell ref="G70:H70"/>
    <mergeCell ref="K70:M70"/>
    <mergeCell ref="N70:P70"/>
    <mergeCell ref="Q70:S70"/>
    <mergeCell ref="V70:X70"/>
    <mergeCell ref="V71:X71"/>
    <mergeCell ref="V72:X72"/>
    <mergeCell ref="B71:C71"/>
    <mergeCell ref="E71:F71"/>
    <mergeCell ref="G71:H71"/>
    <mergeCell ref="K71:M71"/>
    <mergeCell ref="N71:P71"/>
    <mergeCell ref="Q71:S71"/>
    <mergeCell ref="B72:C72"/>
    <mergeCell ref="E72:F72"/>
    <mergeCell ref="G72:H72"/>
    <mergeCell ref="K72:M72"/>
    <mergeCell ref="N72:P72"/>
    <mergeCell ref="Q72:S72"/>
    <mergeCell ref="B74:C74"/>
    <mergeCell ref="E74:F74"/>
    <mergeCell ref="G74:H74"/>
    <mergeCell ref="K74:M74"/>
    <mergeCell ref="N74:P74"/>
    <mergeCell ref="Q74:S74"/>
    <mergeCell ref="B73:C73"/>
    <mergeCell ref="E73:F73"/>
    <mergeCell ref="G73:H73"/>
    <mergeCell ref="K73:M73"/>
    <mergeCell ref="N73:P73"/>
    <mergeCell ref="Q73:S73"/>
    <mergeCell ref="B77:C77"/>
    <mergeCell ref="E77:F77"/>
    <mergeCell ref="G77:H77"/>
    <mergeCell ref="K77:M77"/>
    <mergeCell ref="N77:P77"/>
    <mergeCell ref="Q77:S77"/>
    <mergeCell ref="B75:C75"/>
    <mergeCell ref="E75:F75"/>
    <mergeCell ref="G75:H75"/>
    <mergeCell ref="K75:M75"/>
    <mergeCell ref="N75:P75"/>
    <mergeCell ref="Q75:S75"/>
    <mergeCell ref="B76:C76"/>
    <mergeCell ref="E76:F76"/>
    <mergeCell ref="G76:H76"/>
    <mergeCell ref="K76:M76"/>
    <mergeCell ref="N76:P76"/>
    <mergeCell ref="Q76:S76"/>
    <mergeCell ref="B79:C79"/>
    <mergeCell ref="E79:F79"/>
    <mergeCell ref="G79:H79"/>
    <mergeCell ref="K79:M79"/>
    <mergeCell ref="N79:P79"/>
    <mergeCell ref="Q79:S79"/>
    <mergeCell ref="B78:C78"/>
    <mergeCell ref="E78:F78"/>
    <mergeCell ref="G78:H78"/>
    <mergeCell ref="K78:M78"/>
    <mergeCell ref="N78:P78"/>
    <mergeCell ref="Q78:S78"/>
    <mergeCell ref="B82:C82"/>
    <mergeCell ref="E82:F82"/>
    <mergeCell ref="G82:H82"/>
    <mergeCell ref="K82:M82"/>
    <mergeCell ref="N82:P82"/>
    <mergeCell ref="Q82:S82"/>
    <mergeCell ref="B80:C80"/>
    <mergeCell ref="E80:F80"/>
    <mergeCell ref="G80:H80"/>
    <mergeCell ref="K80:M80"/>
    <mergeCell ref="N80:P80"/>
    <mergeCell ref="Q80:S80"/>
    <mergeCell ref="B84:C84"/>
    <mergeCell ref="E84:F84"/>
    <mergeCell ref="G84:H84"/>
    <mergeCell ref="K84:M84"/>
    <mergeCell ref="N84:P84"/>
    <mergeCell ref="Q84:S84"/>
    <mergeCell ref="B83:C83"/>
    <mergeCell ref="E83:F83"/>
    <mergeCell ref="G83:H83"/>
    <mergeCell ref="K83:M83"/>
    <mergeCell ref="N83:P83"/>
    <mergeCell ref="K91:M91"/>
    <mergeCell ref="N91:P91"/>
    <mergeCell ref="Q91:S91"/>
    <mergeCell ref="K92:M92"/>
    <mergeCell ref="N92:P92"/>
    <mergeCell ref="Q92:S92"/>
    <mergeCell ref="K89:M89"/>
    <mergeCell ref="N89:P89"/>
    <mergeCell ref="Q89:S89"/>
    <mergeCell ref="K90:M90"/>
    <mergeCell ref="N90:P90"/>
    <mergeCell ref="Q90:S90"/>
    <mergeCell ref="B86:C86"/>
    <mergeCell ref="E86:F86"/>
    <mergeCell ref="G86:H86"/>
    <mergeCell ref="K86:M86"/>
    <mergeCell ref="A32:C32"/>
    <mergeCell ref="E32:K32"/>
    <mergeCell ref="N86:P86"/>
    <mergeCell ref="Q86:S86"/>
    <mergeCell ref="K87:M87"/>
    <mergeCell ref="N87:P87"/>
    <mergeCell ref="Q87:S87"/>
    <mergeCell ref="B85:C85"/>
    <mergeCell ref="E85:F85"/>
    <mergeCell ref="G85:H85"/>
    <mergeCell ref="K85:M85"/>
    <mergeCell ref="N85:P85"/>
    <mergeCell ref="E39:K40"/>
    <mergeCell ref="A39:C40"/>
    <mergeCell ref="Q85:S85"/>
    <mergeCell ref="B81:C81"/>
    <mergeCell ref="E81:F81"/>
    <mergeCell ref="G81:H81"/>
    <mergeCell ref="K81:M81"/>
    <mergeCell ref="N81:P81"/>
    <mergeCell ref="K88:M88"/>
    <mergeCell ref="N88:P88"/>
    <mergeCell ref="Q88:S88"/>
    <mergeCell ref="Q81:S81"/>
    <mergeCell ref="Q83:S83"/>
    <mergeCell ref="E48:K48"/>
    <mergeCell ref="E49:K49"/>
    <mergeCell ref="Q57:S57"/>
    <mergeCell ref="E59:F59"/>
    <mergeCell ref="G59:H59"/>
    <mergeCell ref="K59:M59"/>
    <mergeCell ref="N59:P59"/>
    <mergeCell ref="Q59:S59"/>
    <mergeCell ref="R48:S48"/>
    <mergeCell ref="R49:S49"/>
    <mergeCell ref="G63:H63"/>
    <mergeCell ref="K63:M63"/>
    <mergeCell ref="N63:P63"/>
    <mergeCell ref="Q63:S63"/>
    <mergeCell ref="R52:S52"/>
    <mergeCell ref="M52:N52"/>
    <mergeCell ref="E57:F57"/>
    <mergeCell ref="G57:H57"/>
    <mergeCell ref="K57:M57"/>
    <mergeCell ref="T22:U22"/>
    <mergeCell ref="A25:C27"/>
    <mergeCell ref="Q28:R28"/>
    <mergeCell ref="A37:F37"/>
    <mergeCell ref="H37:K37"/>
    <mergeCell ref="A35:F35"/>
    <mergeCell ref="H35:K35"/>
    <mergeCell ref="M37:N37"/>
    <mergeCell ref="M35:N35"/>
    <mergeCell ref="Q22:R22"/>
    <mergeCell ref="M22:O22"/>
    <mergeCell ref="T23:U23"/>
    <mergeCell ref="E22:K22"/>
    <mergeCell ref="W30:X30"/>
    <mergeCell ref="E25:K25"/>
    <mergeCell ref="E27:K27"/>
    <mergeCell ref="A28:C31"/>
    <mergeCell ref="E29:K29"/>
    <mergeCell ref="W25:X25"/>
    <mergeCell ref="W27:X27"/>
    <mergeCell ref="W29:X29"/>
    <mergeCell ref="W28:X28"/>
    <mergeCell ref="W31:X31"/>
    <mergeCell ref="E30:K30"/>
    <mergeCell ref="M26:O26"/>
    <mergeCell ref="Q26:R26"/>
    <mergeCell ref="T26:U26"/>
    <mergeCell ref="W26:X26"/>
    <mergeCell ref="E28:K28"/>
    <mergeCell ref="M28:O28"/>
    <mergeCell ref="E26:K26"/>
    <mergeCell ref="M29:O29"/>
    <mergeCell ref="A1:AB1"/>
    <mergeCell ref="A2:AB2"/>
    <mergeCell ref="A4:AB4"/>
    <mergeCell ref="V54:AB54"/>
    <mergeCell ref="V55:AB55"/>
    <mergeCell ref="V56:AB56"/>
    <mergeCell ref="V57:X57"/>
    <mergeCell ref="V58:X58"/>
    <mergeCell ref="O35:Q35"/>
    <mergeCell ref="O37:Q37"/>
    <mergeCell ref="X35:Z35"/>
    <mergeCell ref="X37:Z37"/>
    <mergeCell ref="AA35:AB35"/>
    <mergeCell ref="AA37:AB37"/>
    <mergeCell ref="V17:X17"/>
    <mergeCell ref="V18:X18"/>
    <mergeCell ref="V7:X7"/>
    <mergeCell ref="V8:X8"/>
    <mergeCell ref="V9:X9"/>
    <mergeCell ref="V10:X10"/>
    <mergeCell ref="M32:O32"/>
    <mergeCell ref="Q32:R32"/>
    <mergeCell ref="W23:X23"/>
    <mergeCell ref="W22:X22"/>
    <mergeCell ref="Z81:AB81"/>
    <mergeCell ref="Z82:AB82"/>
    <mergeCell ref="V73:X73"/>
    <mergeCell ref="V74:X74"/>
    <mergeCell ref="V75:X75"/>
    <mergeCell ref="V76:X76"/>
    <mergeCell ref="V77:X77"/>
    <mergeCell ref="V78:X78"/>
    <mergeCell ref="V79:X79"/>
    <mergeCell ref="V80:X80"/>
    <mergeCell ref="V81:X81"/>
    <mergeCell ref="V82:X82"/>
    <mergeCell ref="Z80:AB80"/>
    <mergeCell ref="Z71:AB71"/>
    <mergeCell ref="Z72:AB72"/>
    <mergeCell ref="Z73:AB73"/>
    <mergeCell ref="Z74:AB74"/>
    <mergeCell ref="Z75:AB75"/>
    <mergeCell ref="Z76:AB76"/>
    <mergeCell ref="Z77:AB77"/>
    <mergeCell ref="Z61:AB61"/>
    <mergeCell ref="Z62:AB62"/>
    <mergeCell ref="Z63:AB63"/>
    <mergeCell ref="Z64:AB64"/>
    <mergeCell ref="Z65:AB65"/>
    <mergeCell ref="Z66:AB66"/>
    <mergeCell ref="Z67:AB67"/>
    <mergeCell ref="Z68:AB68"/>
    <mergeCell ref="Z69:AB69"/>
    <mergeCell ref="V63:X63"/>
    <mergeCell ref="V64:X64"/>
    <mergeCell ref="V65:X65"/>
    <mergeCell ref="V66:X66"/>
    <mergeCell ref="Z70:AB70"/>
    <mergeCell ref="V67:X67"/>
    <mergeCell ref="V68:X68"/>
    <mergeCell ref="V69:X69"/>
    <mergeCell ref="M27:O27"/>
    <mergeCell ref="Q27:R27"/>
    <mergeCell ref="T27:U27"/>
    <mergeCell ref="X36:Z36"/>
    <mergeCell ref="AA36:AB36"/>
    <mergeCell ref="W32:X32"/>
    <mergeCell ref="V34:AB34"/>
    <mergeCell ref="V35:W35"/>
    <mergeCell ref="T28:U28"/>
    <mergeCell ref="M30:O30"/>
    <mergeCell ref="Q30:R30"/>
    <mergeCell ref="T30:U30"/>
    <mergeCell ref="Q29:R29"/>
    <mergeCell ref="T29:U29"/>
    <mergeCell ref="Z59:AB59"/>
    <mergeCell ref="Z60:AB60"/>
    <mergeCell ref="V11:X11"/>
    <mergeCell ref="V12:X12"/>
    <mergeCell ref="Y7:AB7"/>
    <mergeCell ref="Y8:AB8"/>
    <mergeCell ref="Y9:AB9"/>
    <mergeCell ref="Y10:AB10"/>
    <mergeCell ref="Y11:AB11"/>
    <mergeCell ref="Y12:AB12"/>
    <mergeCell ref="Y13:AB13"/>
    <mergeCell ref="N13:X13"/>
    <mergeCell ref="N11:U11"/>
  </mergeCells>
  <printOptions horizontalCentered="1"/>
  <pageMargins left="0.25" right="0.25" top="0.25" bottom="0.25" header="0.25" footer="0.25"/>
  <pageSetup paperSize="9" scale="66" orientation="landscape" r:id="rId1"/>
  <headerFooter scaleWithDoc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V349"/>
  <sheetViews>
    <sheetView view="pageBreakPreview" topLeftCell="A193" zoomScaleSheetLayoutView="100" workbookViewId="0">
      <selection activeCell="G202" sqref="G202"/>
    </sheetView>
  </sheetViews>
  <sheetFormatPr defaultColWidth="9.140625" defaultRowHeight="15" x14ac:dyDescent="0.25"/>
  <cols>
    <col min="1" max="1" width="10.28515625" style="187" bestFit="1" customWidth="1"/>
    <col min="2" max="2" width="9.5703125" style="187" bestFit="1" customWidth="1"/>
    <col min="3" max="3" width="9.140625" style="39"/>
    <col min="4" max="4" width="5.5703125" style="39" bestFit="1" customWidth="1"/>
    <col min="5" max="5" width="15.7109375" style="39" bestFit="1" customWidth="1"/>
    <col min="6" max="6" width="23.7109375" style="79" bestFit="1" customWidth="1"/>
    <col min="7" max="7" width="10.85546875" style="39" bestFit="1" customWidth="1"/>
    <col min="8" max="8" width="11.5703125" style="39" bestFit="1" customWidth="1"/>
    <col min="9" max="9" width="11.28515625" style="39" bestFit="1" customWidth="1"/>
    <col min="10" max="10" width="10.85546875" style="39" bestFit="1" customWidth="1"/>
    <col min="11" max="11" width="13.42578125" style="39" bestFit="1" customWidth="1"/>
    <col min="12" max="12" width="10.85546875" style="39" bestFit="1" customWidth="1"/>
    <col min="13" max="14" width="11.5703125" style="39" bestFit="1" customWidth="1"/>
    <col min="15" max="15" width="11.28515625" style="39" bestFit="1" customWidth="1"/>
    <col min="16" max="16" width="10.85546875" style="39" bestFit="1" customWidth="1"/>
    <col min="17" max="17" width="13.42578125" style="39" bestFit="1" customWidth="1"/>
    <col min="18" max="18" width="10.85546875" style="39" bestFit="1" customWidth="1"/>
    <col min="19" max="19" width="12" style="39" bestFit="1" customWidth="1"/>
    <col min="20" max="20" width="11.7109375" style="39" bestFit="1" customWidth="1"/>
    <col min="21" max="21" width="10" style="39" bestFit="1" customWidth="1"/>
    <col min="22" max="22" width="11.28515625" style="39" bestFit="1" customWidth="1"/>
    <col min="23" max="16384" width="9.140625" style="39"/>
  </cols>
  <sheetData>
    <row r="1" spans="1:22" ht="18.600000000000001" customHeight="1" x14ac:dyDescent="0.25">
      <c r="A1" s="93" t="s">
        <v>3</v>
      </c>
      <c r="B1" s="93" t="s">
        <v>213</v>
      </c>
      <c r="C1" s="79"/>
      <c r="D1" s="258" t="s">
        <v>172</v>
      </c>
      <c r="E1" s="258"/>
      <c r="F1" s="258"/>
      <c r="G1" s="258"/>
      <c r="H1" s="258"/>
      <c r="I1" s="258"/>
      <c r="J1" s="258"/>
      <c r="K1" s="258"/>
      <c r="L1" s="258"/>
      <c r="M1" s="258"/>
      <c r="N1" s="258"/>
      <c r="O1" s="258"/>
      <c r="P1" s="258"/>
      <c r="Q1" s="258"/>
      <c r="R1" s="258"/>
      <c r="S1" s="258"/>
      <c r="T1" s="258"/>
      <c r="U1" s="258"/>
      <c r="V1" s="258"/>
    </row>
    <row r="2" spans="1:22" s="14" customFormat="1" ht="15.6" customHeight="1" x14ac:dyDescent="0.25">
      <c r="A2" s="127">
        <v>34790</v>
      </c>
      <c r="B2" s="113"/>
      <c r="C2" s="79"/>
      <c r="D2" s="259" t="s">
        <v>0</v>
      </c>
      <c r="E2" s="259"/>
      <c r="F2" s="259"/>
      <c r="G2" s="259"/>
      <c r="H2" s="259"/>
      <c r="I2" s="259"/>
      <c r="J2" s="259"/>
      <c r="K2" s="259"/>
      <c r="L2" s="259"/>
      <c r="M2" s="259"/>
      <c r="N2" s="259"/>
      <c r="O2" s="259"/>
      <c r="P2" s="259"/>
      <c r="Q2" s="259"/>
      <c r="R2" s="259"/>
      <c r="S2" s="259"/>
      <c r="T2" s="259"/>
      <c r="U2" s="259"/>
      <c r="V2" s="259"/>
    </row>
    <row r="3" spans="1:22" s="14" customFormat="1" ht="18" customHeight="1" x14ac:dyDescent="0.25">
      <c r="A3" s="127">
        <v>34820</v>
      </c>
      <c r="B3" s="113"/>
      <c r="D3" s="15"/>
      <c r="E3" s="15"/>
      <c r="F3" s="15"/>
      <c r="G3" s="15"/>
      <c r="H3" s="15"/>
      <c r="I3" s="15"/>
      <c r="J3" s="15"/>
      <c r="K3" s="15"/>
      <c r="L3" s="15"/>
      <c r="M3" s="15"/>
      <c r="N3" s="15"/>
      <c r="O3" s="15"/>
      <c r="P3" s="15"/>
      <c r="Q3" s="15"/>
      <c r="R3" s="15"/>
      <c r="S3" s="15"/>
      <c r="T3" s="15"/>
      <c r="U3" s="15"/>
      <c r="V3" s="15"/>
    </row>
    <row r="4" spans="1:22" s="38" customFormat="1" ht="19.149999999999999" customHeight="1" x14ac:dyDescent="0.3">
      <c r="A4" s="127">
        <v>34851</v>
      </c>
      <c r="B4" s="185"/>
      <c r="D4" s="371" t="s">
        <v>173</v>
      </c>
      <c r="E4" s="371"/>
      <c r="F4" s="371"/>
      <c r="G4" s="371"/>
      <c r="H4" s="371"/>
      <c r="I4" s="371"/>
      <c r="J4" s="371"/>
      <c r="K4" s="371"/>
      <c r="L4" s="371"/>
      <c r="M4" s="371"/>
      <c r="N4" s="371"/>
      <c r="O4" s="371"/>
      <c r="P4" s="371"/>
      <c r="Q4" s="371"/>
      <c r="R4" s="371"/>
      <c r="S4" s="371"/>
      <c r="T4" s="371"/>
      <c r="U4" s="371"/>
      <c r="V4" s="371"/>
    </row>
    <row r="5" spans="1:22" s="14" customFormat="1" ht="29.45" customHeight="1" x14ac:dyDescent="0.25">
      <c r="A5" s="127">
        <v>34881</v>
      </c>
      <c r="B5" s="113"/>
      <c r="D5" s="30"/>
      <c r="E5" s="30"/>
      <c r="F5" s="15"/>
      <c r="G5" s="15"/>
      <c r="H5" s="15"/>
      <c r="I5" s="15"/>
      <c r="J5" s="15"/>
      <c r="K5" s="15"/>
      <c r="L5" s="15"/>
      <c r="M5" s="15"/>
      <c r="N5" s="15"/>
      <c r="O5" s="15"/>
      <c r="P5" s="15"/>
      <c r="Q5" s="15"/>
    </row>
    <row r="6" spans="1:22" s="17" customFormat="1" ht="45" x14ac:dyDescent="0.25">
      <c r="A6" s="127">
        <v>34912</v>
      </c>
      <c r="B6" s="113"/>
      <c r="D6" s="326" t="s">
        <v>153</v>
      </c>
      <c r="E6" s="327"/>
      <c r="G6" s="25" t="s">
        <v>197</v>
      </c>
      <c r="H6" s="24" t="s">
        <v>149</v>
      </c>
      <c r="I6" s="25" t="s">
        <v>150</v>
      </c>
      <c r="J6" s="24" t="s">
        <v>152</v>
      </c>
      <c r="K6" s="24" t="s">
        <v>195</v>
      </c>
      <c r="M6" s="26" t="s">
        <v>197</v>
      </c>
      <c r="N6" s="27" t="s">
        <v>149</v>
      </c>
      <c r="O6" s="26" t="s">
        <v>150</v>
      </c>
      <c r="P6" s="27" t="s">
        <v>152</v>
      </c>
      <c r="Q6" s="27" t="s">
        <v>195</v>
      </c>
      <c r="S6" s="22" t="s">
        <v>197</v>
      </c>
      <c r="T6" s="23" t="s">
        <v>149</v>
      </c>
      <c r="U6" s="23" t="s">
        <v>152</v>
      </c>
      <c r="V6" s="23" t="s">
        <v>195</v>
      </c>
    </row>
    <row r="7" spans="1:22" s="17" customFormat="1" ht="14.45" customHeight="1" x14ac:dyDescent="0.25">
      <c r="A7" s="127">
        <v>34943</v>
      </c>
      <c r="B7" s="113"/>
      <c r="D7" s="326" t="str">
        <f>Input!K8</f>
        <v>VARRINDER KAUR RAINA</v>
      </c>
      <c r="E7" s="327"/>
      <c r="G7" s="40" t="s">
        <v>111</v>
      </c>
      <c r="H7" s="33">
        <v>34344</v>
      </c>
      <c r="I7" s="34" t="s">
        <v>148</v>
      </c>
      <c r="J7" s="41">
        <v>5000</v>
      </c>
      <c r="K7" s="24">
        <v>417</v>
      </c>
      <c r="M7" s="42" t="s">
        <v>122</v>
      </c>
      <c r="N7" s="32">
        <v>37043</v>
      </c>
      <c r="O7" s="32" t="s">
        <v>151</v>
      </c>
      <c r="P7" s="43">
        <v>6500</v>
      </c>
      <c r="Q7" s="27">
        <v>541</v>
      </c>
      <c r="S7" s="44" t="s">
        <v>136</v>
      </c>
      <c r="T7" s="31">
        <v>41883</v>
      </c>
      <c r="U7" s="45">
        <v>15000</v>
      </c>
      <c r="V7" s="98">
        <v>1250</v>
      </c>
    </row>
    <row r="8" spans="1:22" s="14" customFormat="1" ht="15.75" thickBot="1" x14ac:dyDescent="0.3">
      <c r="A8" s="127">
        <v>34973</v>
      </c>
      <c r="B8" s="113"/>
      <c r="P8" s="15"/>
      <c r="Q8" s="15"/>
      <c r="R8" s="15"/>
      <c r="S8" s="15"/>
      <c r="T8" s="15"/>
      <c r="U8" s="15"/>
      <c r="V8" s="15"/>
    </row>
    <row r="9" spans="1:22" s="162" customFormat="1" x14ac:dyDescent="0.25">
      <c r="A9" s="127">
        <v>35004</v>
      </c>
      <c r="B9" s="161"/>
      <c r="D9" s="378" t="s">
        <v>189</v>
      </c>
      <c r="E9" s="379"/>
      <c r="F9" s="379"/>
      <c r="G9" s="379"/>
      <c r="H9" s="379"/>
      <c r="I9" s="380"/>
      <c r="J9" s="378" t="s">
        <v>212</v>
      </c>
      <c r="K9" s="379"/>
      <c r="L9" s="379"/>
      <c r="M9" s="379"/>
      <c r="N9" s="379"/>
      <c r="O9" s="380"/>
      <c r="P9" s="163"/>
      <c r="Q9" s="378" t="s">
        <v>229</v>
      </c>
      <c r="R9" s="379"/>
      <c r="S9" s="379"/>
      <c r="T9" s="379"/>
      <c r="U9" s="379"/>
      <c r="V9" s="380"/>
    </row>
    <row r="10" spans="1:22" s="14" customFormat="1" x14ac:dyDescent="0.25">
      <c r="A10" s="127">
        <v>35034</v>
      </c>
      <c r="B10" s="186">
        <f>Input!O16</f>
        <v>0</v>
      </c>
      <c r="D10" s="165" t="s">
        <v>2</v>
      </c>
      <c r="E10" s="160" t="s">
        <v>3</v>
      </c>
      <c r="F10" s="160" t="s">
        <v>4</v>
      </c>
      <c r="G10" s="15"/>
      <c r="H10" s="15"/>
      <c r="I10" s="166"/>
      <c r="J10" s="165" t="s">
        <v>2</v>
      </c>
      <c r="K10" s="160" t="s">
        <v>3</v>
      </c>
      <c r="L10" s="160" t="s">
        <v>4</v>
      </c>
      <c r="M10" s="15"/>
      <c r="N10" s="15"/>
      <c r="O10" s="166"/>
      <c r="Q10" s="171" t="s">
        <v>2</v>
      </c>
      <c r="R10" s="16" t="s">
        <v>3</v>
      </c>
      <c r="S10" s="16" t="s">
        <v>4</v>
      </c>
      <c r="T10" s="15"/>
      <c r="U10" s="15"/>
      <c r="V10" s="166"/>
    </row>
    <row r="11" spans="1:22" s="17" customFormat="1" ht="15.75" thickBot="1" x14ac:dyDescent="0.3">
      <c r="A11" s="127">
        <v>35065</v>
      </c>
      <c r="B11" s="186">
        <f>Input!P16</f>
        <v>0</v>
      </c>
      <c r="D11" s="167">
        <f>IF(Input!I10=0,0,YEAR(Input!I10))</f>
        <v>2019</v>
      </c>
      <c r="E11" s="168">
        <f>IF(Input!I10=0,0,MONTH(Input!I10))</f>
        <v>5</v>
      </c>
      <c r="F11" s="168">
        <f>IF(Input!I10=0,0,DAY(Input!I10))</f>
        <v>1</v>
      </c>
      <c r="G11" s="169">
        <f>IF(Input!I10=0,1,DATE(D11,E11,1))</f>
        <v>43586</v>
      </c>
      <c r="H11" s="168">
        <f>E11+1</f>
        <v>6</v>
      </c>
      <c r="I11" s="170">
        <f>IF(Input!I10=0,1,DATE(D11,H11,1))</f>
        <v>43617</v>
      </c>
      <c r="J11" s="167">
        <f>IF(Input!I11=0,0,YEAR(Input!I11))</f>
        <v>2019</v>
      </c>
      <c r="K11" s="168">
        <f>IF(Input!I11=0,0,MONTH(Input!I11))</f>
        <v>5</v>
      </c>
      <c r="L11" s="168">
        <f>IF(Input!I11=0,0,DAY(Input!I11))</f>
        <v>1</v>
      </c>
      <c r="M11" s="169">
        <f>IF(Input!I11=0,1,DATE(J11,K11,1))</f>
        <v>43586</v>
      </c>
      <c r="N11" s="168">
        <f>K11+1</f>
        <v>6</v>
      </c>
      <c r="O11" s="170">
        <f>IF(Input!I11=0,1,DATE(J11,N11,1))</f>
        <v>43617</v>
      </c>
      <c r="Q11" s="172">
        <f>IF(Input!O11=0,0,YEAR(Input!O11))</f>
        <v>2019</v>
      </c>
      <c r="R11" s="168">
        <f>IF(Input!O11=0,0,MONTH(Input!O11))</f>
        <v>5</v>
      </c>
      <c r="S11" s="168">
        <f>IF(Input!O11=0,0,DAY(Input!O11))</f>
        <v>1</v>
      </c>
      <c r="T11" s="169">
        <f>IF(Input!O11=0,1,DATE(Q11,R11,1))</f>
        <v>43586</v>
      </c>
      <c r="U11" s="168">
        <f>R11-1</f>
        <v>4</v>
      </c>
      <c r="V11" s="170">
        <f>IF(Input!O11=0,1,DATE(Q11,U11,1))</f>
        <v>43556</v>
      </c>
    </row>
    <row r="12" spans="1:22" s="17" customFormat="1" x14ac:dyDescent="0.25">
      <c r="A12" s="127">
        <v>35096</v>
      </c>
      <c r="B12" s="186">
        <f>Input!Q16</f>
        <v>0</v>
      </c>
      <c r="D12" s="28"/>
      <c r="E12" s="29"/>
      <c r="F12" s="28"/>
      <c r="G12" s="164"/>
      <c r="H12" s="164"/>
      <c r="I12" s="164"/>
      <c r="J12" s="164"/>
      <c r="K12" s="164"/>
      <c r="L12" s="35"/>
      <c r="P12" s="28"/>
      <c r="Q12" s="29"/>
      <c r="R12" s="28"/>
      <c r="S12" s="29"/>
      <c r="T12" s="28"/>
      <c r="U12" s="29"/>
      <c r="V12" s="35"/>
    </row>
    <row r="13" spans="1:22" s="14" customFormat="1" ht="14.45" customHeight="1" x14ac:dyDescent="0.25">
      <c r="A13" s="127">
        <v>35125</v>
      </c>
      <c r="B13" s="186">
        <f>Input!R16</f>
        <v>0</v>
      </c>
      <c r="D13" s="131" t="s">
        <v>95</v>
      </c>
      <c r="E13" s="131" t="s">
        <v>145</v>
      </c>
      <c r="F13" s="133" t="s">
        <v>3</v>
      </c>
      <c r="G13" s="133" t="s">
        <v>96</v>
      </c>
      <c r="H13" s="133" t="s">
        <v>97</v>
      </c>
      <c r="I13" s="133" t="s">
        <v>98</v>
      </c>
      <c r="J13" s="133" t="s">
        <v>99</v>
      </c>
      <c r="K13" s="133" t="s">
        <v>100</v>
      </c>
      <c r="L13" s="133" t="s">
        <v>101</v>
      </c>
      <c r="M13" s="133" t="s">
        <v>102</v>
      </c>
      <c r="N13" s="133" t="s">
        <v>103</v>
      </c>
      <c r="O13" s="133" t="s">
        <v>104</v>
      </c>
      <c r="P13" s="133" t="s">
        <v>105</v>
      </c>
      <c r="Q13" s="133" t="s">
        <v>106</v>
      </c>
      <c r="R13" s="133" t="s">
        <v>107</v>
      </c>
      <c r="S13" s="133" t="s">
        <v>43</v>
      </c>
      <c r="T13" s="387" t="s">
        <v>154</v>
      </c>
      <c r="U13" s="388"/>
      <c r="V13" s="388"/>
    </row>
    <row r="14" spans="1:22" s="46" customFormat="1" ht="30" x14ac:dyDescent="0.25">
      <c r="A14" s="127">
        <v>35156</v>
      </c>
      <c r="B14" s="186">
        <f>Input!G$18</f>
        <v>0</v>
      </c>
      <c r="D14" s="131"/>
      <c r="E14" s="131"/>
      <c r="F14" s="133"/>
      <c r="G14" s="133"/>
      <c r="H14" s="133"/>
      <c r="I14" s="133"/>
      <c r="J14" s="133"/>
      <c r="K14" s="133"/>
      <c r="L14" s="133"/>
      <c r="M14" s="133"/>
      <c r="N14" s="133"/>
      <c r="O14" s="133"/>
      <c r="P14" s="133"/>
      <c r="Q14" s="133"/>
      <c r="R14" s="133"/>
      <c r="S14" s="150"/>
      <c r="T14" s="145" t="s">
        <v>264</v>
      </c>
      <c r="U14" s="137" t="s">
        <v>144</v>
      </c>
      <c r="V14" s="110" t="s">
        <v>43</v>
      </c>
    </row>
    <row r="15" spans="1:22" x14ac:dyDescent="0.25">
      <c r="A15" s="127">
        <v>35186</v>
      </c>
      <c r="B15" s="186">
        <f>Input!H$18</f>
        <v>0</v>
      </c>
      <c r="D15" s="129">
        <v>1</v>
      </c>
      <c r="E15" s="129" t="s">
        <v>108</v>
      </c>
      <c r="F15" s="47" t="s">
        <v>109</v>
      </c>
      <c r="G15" s="48"/>
      <c r="H15" s="48"/>
      <c r="I15" s="48"/>
      <c r="J15" s="48"/>
      <c r="K15" s="48"/>
      <c r="L15" s="48"/>
      <c r="M15" s="48"/>
      <c r="N15" s="48"/>
      <c r="O15" s="49">
        <v>35034</v>
      </c>
      <c r="P15" s="50">
        <v>35065</v>
      </c>
      <c r="Q15" s="50">
        <v>35096</v>
      </c>
      <c r="R15" s="50">
        <v>35125</v>
      </c>
      <c r="S15" s="156">
        <f>SUM(Input!O16:R16)</f>
        <v>0</v>
      </c>
      <c r="T15" s="145"/>
      <c r="U15" s="133"/>
      <c r="V15" s="134"/>
    </row>
    <row r="16" spans="1:22" x14ac:dyDescent="0.25">
      <c r="A16" s="127">
        <v>35217</v>
      </c>
      <c r="B16" s="186">
        <f>Input!I$18</f>
        <v>0</v>
      </c>
      <c r="D16" s="129"/>
      <c r="E16" s="129"/>
      <c r="F16" s="51" t="s">
        <v>110</v>
      </c>
      <c r="G16" s="52"/>
      <c r="H16" s="52"/>
      <c r="I16" s="52"/>
      <c r="J16" s="52"/>
      <c r="K16" s="52"/>
      <c r="L16" s="52"/>
      <c r="M16" s="52"/>
      <c r="N16" s="52"/>
      <c r="O16" s="53">
        <f>IF(Input!O16=0,0,INT((Input!O16*8.33/100)+0.5))</f>
        <v>0</v>
      </c>
      <c r="P16" s="54">
        <f>IF(Input!P16=0,0,INT((Input!P16*8.33/100)+0.5))</f>
        <v>0</v>
      </c>
      <c r="Q16" s="54">
        <f>IF(Input!Q16=0,0,INT((Input!Q16*8.33/100)+0.5))</f>
        <v>0</v>
      </c>
      <c r="R16" s="54">
        <f>IF(Input!R16=0,0,INT((Input!R16*8.33/100)+0.5))</f>
        <v>0</v>
      </c>
      <c r="S16" s="55">
        <f>SUM(O16:R16)</f>
        <v>0</v>
      </c>
      <c r="T16" s="145"/>
      <c r="U16" s="133"/>
      <c r="V16" s="134"/>
    </row>
    <row r="17" spans="1:22" ht="30" x14ac:dyDescent="0.25">
      <c r="A17" s="127">
        <v>35247</v>
      </c>
      <c r="B17" s="186">
        <f>Input!J$18</f>
        <v>0</v>
      </c>
      <c r="D17" s="129"/>
      <c r="E17" s="129"/>
      <c r="F17" s="51" t="s">
        <v>112</v>
      </c>
      <c r="G17" s="52"/>
      <c r="H17" s="52"/>
      <c r="I17" s="52"/>
      <c r="J17" s="52"/>
      <c r="K17" s="52"/>
      <c r="L17" s="52"/>
      <c r="M17" s="52"/>
      <c r="N17" s="52"/>
      <c r="O17" s="53">
        <f>IF(2*Input!O16&lt;=$J$7,INT((Input!O16*8.33%)+0.5),INT(($J$7*8.33%)/2+0.5))</f>
        <v>0</v>
      </c>
      <c r="P17" s="56">
        <f>IF(Input!P16&lt;=$J$7,INT((Input!P16*8.33%)+0.5),INT(($J$7*8.33%)+0.5))</f>
        <v>0</v>
      </c>
      <c r="Q17" s="56">
        <f>IF(Input!Q16&lt;=$J$7,INT((Input!Q16*8.33%)+0.5),INT(($J$7*8.33%)+0.5))</f>
        <v>0</v>
      </c>
      <c r="R17" s="56">
        <f>IF(Input!R16&lt;=$J$7,INT((Input!R16*8.33%)+0.5),INT(($J$7*8.33%)+0.5))</f>
        <v>0</v>
      </c>
      <c r="S17" s="55">
        <f>SUM(O17:R17)</f>
        <v>0</v>
      </c>
      <c r="T17" s="145"/>
      <c r="U17" s="133"/>
      <c r="V17" s="134"/>
    </row>
    <row r="18" spans="1:22" ht="30" x14ac:dyDescent="0.25">
      <c r="A18" s="127">
        <v>35278</v>
      </c>
      <c r="B18" s="186">
        <f>Input!K$18</f>
        <v>0</v>
      </c>
      <c r="D18" s="129"/>
      <c r="E18" s="129"/>
      <c r="F18" s="51" t="s">
        <v>113</v>
      </c>
      <c r="G18" s="52"/>
      <c r="H18" s="52"/>
      <c r="I18" s="52"/>
      <c r="J18" s="52"/>
      <c r="K18" s="52"/>
      <c r="L18" s="52"/>
      <c r="M18" s="52"/>
      <c r="N18" s="52"/>
      <c r="O18" s="57">
        <f>IF(O16-O17&lt;=0,0,O16-O17)</f>
        <v>0</v>
      </c>
      <c r="P18" s="55">
        <f>IF(P16-P17&lt;=0,0,P16-P17)</f>
        <v>0</v>
      </c>
      <c r="Q18" s="55">
        <f>IF(Q16-Q17&lt;=0,0,Q16-Q17)</f>
        <v>0</v>
      </c>
      <c r="R18" s="55">
        <f>IF(R16-R17&lt;=0,0,R16-R17)</f>
        <v>0</v>
      </c>
      <c r="S18" s="55">
        <f>SUM(O18:R18)</f>
        <v>0</v>
      </c>
      <c r="T18" s="145"/>
      <c r="U18" s="133"/>
      <c r="V18" s="134"/>
    </row>
    <row r="19" spans="1:22" x14ac:dyDescent="0.25">
      <c r="A19" s="127">
        <v>35309</v>
      </c>
      <c r="B19" s="186">
        <f>Input!L$18</f>
        <v>0</v>
      </c>
      <c r="D19" s="129"/>
      <c r="E19" s="130" t="s">
        <v>114</v>
      </c>
      <c r="F19" s="51" t="s">
        <v>115</v>
      </c>
      <c r="G19" s="52"/>
      <c r="H19" s="52"/>
      <c r="I19" s="52"/>
      <c r="J19" s="52"/>
      <c r="K19" s="52"/>
      <c r="L19" s="52"/>
      <c r="M19" s="52"/>
      <c r="N19" s="52"/>
      <c r="O19" s="53">
        <f>IF(O15=0,0,IF($T$11&lt;=Input!O14,0,N18+N19))</f>
        <v>0</v>
      </c>
      <c r="P19" s="56">
        <f>IF(P15=0,0,IF($T$11&lt;=Input!P15,0,O18+O19))</f>
        <v>0</v>
      </c>
      <c r="Q19" s="56">
        <f>IF(Q15=0,0,IF($T$11&lt;=Input!Q15,0,P18+P19))</f>
        <v>0</v>
      </c>
      <c r="R19" s="56">
        <f>IF(R15=0,0,IF($T$11&lt;=Input!R15,0,Q18+Q19))</f>
        <v>0</v>
      </c>
      <c r="S19" s="55"/>
      <c r="T19" s="106">
        <f>SUM(O18:R18)</f>
        <v>0</v>
      </c>
      <c r="U19" s="55">
        <f>SUM(P20:R20)</f>
        <v>0</v>
      </c>
      <c r="V19" s="108">
        <f>SUM(T19,U19)</f>
        <v>0</v>
      </c>
    </row>
    <row r="20" spans="1:22" x14ac:dyDescent="0.25">
      <c r="A20" s="127">
        <v>35339</v>
      </c>
      <c r="B20" s="186">
        <f>Input!M$18</f>
        <v>0</v>
      </c>
      <c r="D20" s="129"/>
      <c r="E20" s="58">
        <v>0.12</v>
      </c>
      <c r="F20" s="59" t="s">
        <v>116</v>
      </c>
      <c r="G20" s="52"/>
      <c r="H20" s="52"/>
      <c r="I20" s="52"/>
      <c r="J20" s="52"/>
      <c r="K20" s="52"/>
      <c r="L20" s="52"/>
      <c r="M20" s="52"/>
      <c r="N20" s="52"/>
      <c r="O20" s="60">
        <f>O19/12*$E20</f>
        <v>0</v>
      </c>
      <c r="P20" s="61">
        <f>P19/12*$E20</f>
        <v>0</v>
      </c>
      <c r="Q20" s="61">
        <f>Q19/12*$E20</f>
        <v>0</v>
      </c>
      <c r="R20" s="61">
        <f>R19/12*$E20</f>
        <v>0</v>
      </c>
      <c r="S20" s="61">
        <f>SUM(O20:R20)</f>
        <v>0</v>
      </c>
      <c r="T20" s="107">
        <f>SUM(T19)</f>
        <v>0</v>
      </c>
      <c r="U20" s="62">
        <f>SUM(U19)</f>
        <v>0</v>
      </c>
      <c r="V20" s="109">
        <f>SUM(V19)</f>
        <v>0</v>
      </c>
    </row>
    <row r="21" spans="1:22" x14ac:dyDescent="0.25">
      <c r="A21" s="127">
        <v>35370</v>
      </c>
      <c r="B21" s="186">
        <f>Input!N$18</f>
        <v>0</v>
      </c>
      <c r="D21" s="129">
        <v>2</v>
      </c>
      <c r="E21" s="130" t="s">
        <v>143</v>
      </c>
      <c r="F21" s="47" t="s">
        <v>109</v>
      </c>
      <c r="G21" s="63">
        <v>35156</v>
      </c>
      <c r="H21" s="63">
        <v>35186</v>
      </c>
      <c r="I21" s="63">
        <v>35217</v>
      </c>
      <c r="J21" s="63">
        <v>35247</v>
      </c>
      <c r="K21" s="63">
        <v>35278</v>
      </c>
      <c r="L21" s="63">
        <v>35309</v>
      </c>
      <c r="M21" s="63">
        <v>35339</v>
      </c>
      <c r="N21" s="63">
        <v>35370</v>
      </c>
      <c r="O21" s="63">
        <v>35400</v>
      </c>
      <c r="P21" s="63">
        <v>35431</v>
      </c>
      <c r="Q21" s="63">
        <v>35462</v>
      </c>
      <c r="R21" s="63">
        <v>35490</v>
      </c>
      <c r="S21" s="156">
        <f>SUM(Input!G18:R18)</f>
        <v>0</v>
      </c>
      <c r="T21" s="146"/>
      <c r="U21" s="131"/>
      <c r="V21" s="132"/>
    </row>
    <row r="22" spans="1:22" x14ac:dyDescent="0.25">
      <c r="A22" s="127">
        <v>35400</v>
      </c>
      <c r="B22" s="186">
        <f>Input!O$18</f>
        <v>0</v>
      </c>
      <c r="D22" s="129"/>
      <c r="E22" s="130"/>
      <c r="F22" s="51" t="s">
        <v>110</v>
      </c>
      <c r="G22" s="54">
        <f>IF(Input!G18=0,0,INT((Input!G18*8.33/100)+0.5))</f>
        <v>0</v>
      </c>
      <c r="H22" s="54">
        <f>IF(Input!H18=0,0,INT((Input!H18*8.33/100)+0.5))</f>
        <v>0</v>
      </c>
      <c r="I22" s="54">
        <f>IF(Input!I18=0,0,INT((Input!I18*8.33/100)+0.5))</f>
        <v>0</v>
      </c>
      <c r="J22" s="54">
        <f>IF(Input!J18=0,0,INT((Input!J18*8.33/100)+0.5))</f>
        <v>0</v>
      </c>
      <c r="K22" s="54">
        <f>IF(Input!K18=0,0,INT((Input!K18*8.33/100)+0.5))</f>
        <v>0</v>
      </c>
      <c r="L22" s="54">
        <f>IF(Input!L18=0,0,INT((Input!L18*8.33/100)+0.5))</f>
        <v>0</v>
      </c>
      <c r="M22" s="54">
        <f>IF(Input!M18=0,0,INT((Input!M18*8.33/100)+0.5))</f>
        <v>0</v>
      </c>
      <c r="N22" s="54">
        <f>IF(Input!N18=0,0,INT((Input!N18*8.33/100)+0.5))</f>
        <v>0</v>
      </c>
      <c r="O22" s="54">
        <f>IF(Input!O18=0,0,INT((Input!O18*8.33/100)+0.5))</f>
        <v>0</v>
      </c>
      <c r="P22" s="54">
        <f>IF(Input!P18=0,0,INT((Input!P18*8.33/100)+0.5))</f>
        <v>0</v>
      </c>
      <c r="Q22" s="54">
        <f>IF(Input!Q18=0,0,INT((Input!Q18*8.33/100)+0.5))</f>
        <v>0</v>
      </c>
      <c r="R22" s="54">
        <f>IF(Input!R18=0,0,INT((Input!R18*8.33/100)+0.5))</f>
        <v>0</v>
      </c>
      <c r="S22" s="55">
        <f>SUM(G22:R22)</f>
        <v>0</v>
      </c>
      <c r="T22" s="146"/>
      <c r="U22" s="131"/>
      <c r="V22" s="132"/>
    </row>
    <row r="23" spans="1:22" ht="30" x14ac:dyDescent="0.25">
      <c r="A23" s="127">
        <v>35431</v>
      </c>
      <c r="B23" s="186">
        <f>Input!P$18</f>
        <v>0</v>
      </c>
      <c r="D23" s="129"/>
      <c r="E23" s="130"/>
      <c r="F23" s="51" t="s">
        <v>112</v>
      </c>
      <c r="G23" s="56">
        <f>IF(Input!G18&lt;=$J$7,INT((Input!G18*8.33%)+0.5),INT(($J$7*8.33%)+0.5))</f>
        <v>0</v>
      </c>
      <c r="H23" s="56">
        <f>IF(Input!H18&lt;=$J$7,INT((Input!H18*8.33%)+0.5),INT(($J$7*8.33%)+0.5))</f>
        <v>0</v>
      </c>
      <c r="I23" s="56">
        <f>IF(Input!I18&lt;=$J$7,INT((Input!I18*8.33%)+0.5),INT(($J$7*8.33%)+0.5))</f>
        <v>0</v>
      </c>
      <c r="J23" s="56">
        <f>IF(Input!J18&lt;=$J$7,INT((Input!J18*8.33%)+0.5),INT(($J$7*8.33%)+0.5))</f>
        <v>0</v>
      </c>
      <c r="K23" s="56">
        <f>IF(Input!K18&lt;=$J$7,INT((Input!K18*8.33%)+0.5),INT(($J$7*8.33%)+0.5))</f>
        <v>0</v>
      </c>
      <c r="L23" s="56">
        <f>IF(Input!L18&lt;=$J$7,INT((Input!L18*8.33%)+0.5),INT(($J$7*8.33%)+0.5))</f>
        <v>0</v>
      </c>
      <c r="M23" s="56">
        <f>IF(Input!M18&lt;=$J$7,INT((Input!M18*8.33%)+0.5),INT(($J$7*8.33%)+0.5))</f>
        <v>0</v>
      </c>
      <c r="N23" s="56">
        <f>IF(Input!N18&lt;=$J$7,INT((Input!N18*8.33%)+0.5),INT(($J$7*8.33%)+0.5))</f>
        <v>0</v>
      </c>
      <c r="O23" s="56">
        <f>IF(Input!O18&lt;=$J$7,INT((Input!O18*8.33%)+0.5),INT(($J$7*8.33%)+0.5))</f>
        <v>0</v>
      </c>
      <c r="P23" s="56">
        <f>IF(Input!P18&lt;=$J$7,INT((Input!P18*8.33%)+0.5),INT(($J$7*8.33%)+0.5))</f>
        <v>0</v>
      </c>
      <c r="Q23" s="56">
        <f>IF(Input!Q18&lt;=$J$7,INT((Input!Q18*8.33%)+0.5),INT(($J$7*8.33%)+0.5))</f>
        <v>0</v>
      </c>
      <c r="R23" s="56">
        <f>IF(Input!R18&lt;=$J$7,INT((Input!R18*8.33%)+0.5),INT(($J$7*8.33%)+0.5))</f>
        <v>0</v>
      </c>
      <c r="S23" s="55">
        <f>SUM(G23:R23)</f>
        <v>0</v>
      </c>
      <c r="T23" s="146"/>
      <c r="U23" s="131"/>
      <c r="V23" s="132"/>
    </row>
    <row r="24" spans="1:22" ht="30" x14ac:dyDescent="0.25">
      <c r="A24" s="127">
        <v>35462</v>
      </c>
      <c r="B24" s="186">
        <f>Input!Q$18</f>
        <v>0</v>
      </c>
      <c r="D24" s="129"/>
      <c r="E24" s="130"/>
      <c r="F24" s="51" t="s">
        <v>113</v>
      </c>
      <c r="G24" s="55">
        <f t="shared" ref="G24:R24" si="0">IF(G22-G23&lt;=0,0,G22-G23)</f>
        <v>0</v>
      </c>
      <c r="H24" s="55">
        <f t="shared" si="0"/>
        <v>0</v>
      </c>
      <c r="I24" s="55">
        <f t="shared" si="0"/>
        <v>0</v>
      </c>
      <c r="J24" s="55">
        <f t="shared" si="0"/>
        <v>0</v>
      </c>
      <c r="K24" s="55">
        <f t="shared" si="0"/>
        <v>0</v>
      </c>
      <c r="L24" s="55">
        <f t="shared" si="0"/>
        <v>0</v>
      </c>
      <c r="M24" s="55">
        <f t="shared" si="0"/>
        <v>0</v>
      </c>
      <c r="N24" s="55">
        <f t="shared" si="0"/>
        <v>0</v>
      </c>
      <c r="O24" s="55">
        <f t="shared" si="0"/>
        <v>0</v>
      </c>
      <c r="P24" s="55">
        <f t="shared" si="0"/>
        <v>0</v>
      </c>
      <c r="Q24" s="55">
        <f t="shared" si="0"/>
        <v>0</v>
      </c>
      <c r="R24" s="55">
        <f t="shared" si="0"/>
        <v>0</v>
      </c>
      <c r="S24" s="55">
        <f>SUM(G24:R24)</f>
        <v>0</v>
      </c>
      <c r="T24" s="146"/>
      <c r="U24" s="131"/>
      <c r="V24" s="132"/>
    </row>
    <row r="25" spans="1:22" x14ac:dyDescent="0.25">
      <c r="A25" s="127">
        <v>35490</v>
      </c>
      <c r="B25" s="186">
        <f>Input!R$18</f>
        <v>0</v>
      </c>
      <c r="D25" s="129"/>
      <c r="E25" s="130" t="s">
        <v>114</v>
      </c>
      <c r="F25" s="51" t="s">
        <v>115</v>
      </c>
      <c r="G25" s="56">
        <f>IF(G21=0,0,IF($T$11&lt;=Input!G17,0,R18+R19+U19))</f>
        <v>0</v>
      </c>
      <c r="H25" s="56">
        <f>IF(H21=0,0,IF($T$11&lt;=Input!H17,0,G24+G25))</f>
        <v>0</v>
      </c>
      <c r="I25" s="56">
        <f>IF(I21=0,0,IF($T$11&lt;=Input!I17,0,H24+H25))</f>
        <v>0</v>
      </c>
      <c r="J25" s="56">
        <f>IF(J21=0,0,IF($T$11&lt;=Input!J17,0,I24+I25))</f>
        <v>0</v>
      </c>
      <c r="K25" s="56">
        <f>IF(K21=0,0,IF($T$11&lt;=Input!K17,0,J24+J25))</f>
        <v>0</v>
      </c>
      <c r="L25" s="56">
        <f>IF(L21=0,0,IF($T$11&lt;=Input!L17,0,K24+K25))</f>
        <v>0</v>
      </c>
      <c r="M25" s="56">
        <f>IF(M21=0,0,IF($T$11&lt;=Input!M17,0,L24+L25))</f>
        <v>0</v>
      </c>
      <c r="N25" s="56">
        <f>IF(N21=0,0,IF($T$11&lt;=Input!N17,0,M24+M25))</f>
        <v>0</v>
      </c>
      <c r="O25" s="56">
        <f>IF(O21=0,0,IF($T$11&lt;=Input!O17,0,N24+N25))</f>
        <v>0</v>
      </c>
      <c r="P25" s="56">
        <f>IF(P21=0,0,IF($T$11&lt;=Input!P17,0,O24+O25))</f>
        <v>0</v>
      </c>
      <c r="Q25" s="56">
        <f>IF(Q21=0,0,IF($T$11&lt;=Input!Q17,0,P24+P25))</f>
        <v>0</v>
      </c>
      <c r="R25" s="56">
        <f>IF(R21=0,0,IF($T$11&lt;=Input!R17,0,Q24+Q25))</f>
        <v>0</v>
      </c>
      <c r="S25" s="55"/>
      <c r="T25" s="106">
        <f>SUM(G24:R24)</f>
        <v>0</v>
      </c>
      <c r="U25" s="55">
        <f>SUM(G26:R26)</f>
        <v>0</v>
      </c>
      <c r="V25" s="108">
        <f>SUM(T25,U25)</f>
        <v>0</v>
      </c>
    </row>
    <row r="26" spans="1:22" x14ac:dyDescent="0.25">
      <c r="A26" s="127">
        <v>35521</v>
      </c>
      <c r="B26" s="186">
        <f>Input!G$20</f>
        <v>0</v>
      </c>
      <c r="D26" s="129"/>
      <c r="E26" s="58">
        <v>0.12</v>
      </c>
      <c r="F26" s="59" t="s">
        <v>116</v>
      </c>
      <c r="G26" s="64">
        <f t="shared" ref="G26:R26" si="1">G25/12*$E26</f>
        <v>0</v>
      </c>
      <c r="H26" s="55">
        <f t="shared" si="1"/>
        <v>0</v>
      </c>
      <c r="I26" s="55">
        <f t="shared" si="1"/>
        <v>0</v>
      </c>
      <c r="J26" s="55">
        <f t="shared" si="1"/>
        <v>0</v>
      </c>
      <c r="K26" s="55">
        <f t="shared" si="1"/>
        <v>0</v>
      </c>
      <c r="L26" s="55">
        <f t="shared" si="1"/>
        <v>0</v>
      </c>
      <c r="M26" s="55">
        <f t="shared" si="1"/>
        <v>0</v>
      </c>
      <c r="N26" s="55">
        <f t="shared" si="1"/>
        <v>0</v>
      </c>
      <c r="O26" s="55">
        <f t="shared" si="1"/>
        <v>0</v>
      </c>
      <c r="P26" s="55">
        <f t="shared" si="1"/>
        <v>0</v>
      </c>
      <c r="Q26" s="55">
        <f t="shared" si="1"/>
        <v>0</v>
      </c>
      <c r="R26" s="55">
        <f t="shared" si="1"/>
        <v>0</v>
      </c>
      <c r="S26" s="55">
        <f>SUM(G26:R26)</f>
        <v>0</v>
      </c>
      <c r="T26" s="107">
        <f>SUM(T19,T25)</f>
        <v>0</v>
      </c>
      <c r="U26" s="62">
        <f>SUM(U19,U25)</f>
        <v>0</v>
      </c>
      <c r="V26" s="109">
        <f>SUM(V19,V25)</f>
        <v>0</v>
      </c>
    </row>
    <row r="27" spans="1:22" x14ac:dyDescent="0.25">
      <c r="A27" s="127">
        <v>35551</v>
      </c>
      <c r="B27" s="186">
        <f>Input!H$20</f>
        <v>0</v>
      </c>
      <c r="D27" s="129">
        <v>3</v>
      </c>
      <c r="E27" s="130" t="s">
        <v>117</v>
      </c>
      <c r="F27" s="47" t="s">
        <v>109</v>
      </c>
      <c r="G27" s="63">
        <v>35521</v>
      </c>
      <c r="H27" s="63">
        <v>35551</v>
      </c>
      <c r="I27" s="63">
        <v>35582</v>
      </c>
      <c r="J27" s="63">
        <v>35612</v>
      </c>
      <c r="K27" s="63">
        <v>35643</v>
      </c>
      <c r="L27" s="63">
        <v>35674</v>
      </c>
      <c r="M27" s="63">
        <v>35704</v>
      </c>
      <c r="N27" s="63">
        <v>35735</v>
      </c>
      <c r="O27" s="63">
        <v>35765</v>
      </c>
      <c r="P27" s="63">
        <v>35796</v>
      </c>
      <c r="Q27" s="63">
        <v>35827</v>
      </c>
      <c r="R27" s="63">
        <v>35855</v>
      </c>
      <c r="S27" s="156">
        <f>SUM(Input!G20:R20)</f>
        <v>0</v>
      </c>
      <c r="T27" s="146"/>
      <c r="U27" s="131"/>
      <c r="V27" s="132"/>
    </row>
    <row r="28" spans="1:22" x14ac:dyDescent="0.25">
      <c r="A28" s="127">
        <v>35582</v>
      </c>
      <c r="B28" s="186">
        <f>Input!I$20</f>
        <v>0</v>
      </c>
      <c r="D28" s="129"/>
      <c r="E28" s="130"/>
      <c r="F28" s="51" t="s">
        <v>110</v>
      </c>
      <c r="G28" s="54">
        <f>IF(Input!G20=0,0,INT((Input!G20*8.33/100)+0.5))</f>
        <v>0</v>
      </c>
      <c r="H28" s="54">
        <f>IF(Input!H20=0,0,INT((Input!H20*8.33/100)+0.5))</f>
        <v>0</v>
      </c>
      <c r="I28" s="54">
        <f>IF(Input!I20=0,0,INT((Input!I20*8.33/100)+0.5))</f>
        <v>0</v>
      </c>
      <c r="J28" s="54">
        <f>IF(Input!J20=0,0,INT((Input!J20*8.33/100)+0.5))</f>
        <v>0</v>
      </c>
      <c r="K28" s="54">
        <f>IF(Input!K20=0,0,INT((Input!K20*8.33/100)+0.5))</f>
        <v>0</v>
      </c>
      <c r="L28" s="54">
        <f>IF(Input!L20=0,0,INT((Input!L20*8.33/100)+0.5))</f>
        <v>0</v>
      </c>
      <c r="M28" s="54">
        <f>IF(Input!M20=0,0,INT((Input!M20*8.33/100)+0.5))</f>
        <v>0</v>
      </c>
      <c r="N28" s="54">
        <f>IF(Input!N20=0,0,INT((Input!N20*8.33/100)+0.5))</f>
        <v>0</v>
      </c>
      <c r="O28" s="54">
        <f>IF(Input!O20=0,0,INT((Input!O20*8.33/100)+0.5))</f>
        <v>0</v>
      </c>
      <c r="P28" s="54">
        <f>IF(Input!P20=0,0,INT((Input!P20*8.33/100)+0.5))</f>
        <v>0</v>
      </c>
      <c r="Q28" s="54">
        <f>IF(Input!Q20=0,0,INT((Input!Q20*8.33/100)+0.5))</f>
        <v>0</v>
      </c>
      <c r="R28" s="54">
        <f>IF(Input!R20=0,0,INT((Input!R20*8.33/100)+0.5))</f>
        <v>0</v>
      </c>
      <c r="S28" s="55">
        <f>SUM(G28:R28)</f>
        <v>0</v>
      </c>
      <c r="T28" s="146"/>
      <c r="U28" s="131"/>
      <c r="V28" s="132"/>
    </row>
    <row r="29" spans="1:22" ht="30" x14ac:dyDescent="0.25">
      <c r="A29" s="127">
        <v>35612</v>
      </c>
      <c r="B29" s="186">
        <f>Input!J$20</f>
        <v>0</v>
      </c>
      <c r="D29" s="129"/>
      <c r="E29" s="130"/>
      <c r="F29" s="51" t="s">
        <v>112</v>
      </c>
      <c r="G29" s="56">
        <f>IF(Input!G20&lt;=$J$7,INT((Input!G20*8.33%)+0.5),INT(($J$7*8.33%)+0.5))</f>
        <v>0</v>
      </c>
      <c r="H29" s="56">
        <f>IF(Input!H20&lt;=$J$7,INT((Input!H20*8.33%)+0.5),INT(($J$7*8.33%)+0.5))</f>
        <v>0</v>
      </c>
      <c r="I29" s="56">
        <f>IF(Input!I20&lt;=$J$7,INT((Input!I20*8.33%)+0.5),INT(($J$7*8.33%)+0.5))</f>
        <v>0</v>
      </c>
      <c r="J29" s="56">
        <f>IF(Input!J20&lt;=$J$7,INT((Input!J20*8.33%)+0.5),INT(($J$7*8.33%)+0.5))</f>
        <v>0</v>
      </c>
      <c r="K29" s="56">
        <f>IF(Input!K20&lt;=$J$7,INT((Input!K20*8.33%)+0.5),INT(($J$7*8.33%)+0.5))</f>
        <v>0</v>
      </c>
      <c r="L29" s="56">
        <f>IF(Input!L20&lt;=$J$7,INT((Input!L20*8.33%)+0.5),INT(($J$7*8.33%)+0.5))</f>
        <v>0</v>
      </c>
      <c r="M29" s="56">
        <f>IF(Input!M20&lt;=$J$7,INT((Input!M20*8.33%)+0.5),INT(($J$7*8.33%)+0.5))</f>
        <v>0</v>
      </c>
      <c r="N29" s="56">
        <f>IF(Input!N20&lt;=$J$7,INT((Input!N20*8.33%)+0.5),INT(($J$7*8.33%)+0.5))</f>
        <v>0</v>
      </c>
      <c r="O29" s="56">
        <f>IF(Input!O20&lt;=$J$7,INT((Input!O20*8.33%)+0.5),INT(($J$7*8.33%)+0.5))</f>
        <v>0</v>
      </c>
      <c r="P29" s="56">
        <f>IF(Input!P20&lt;=$J$7,INT((Input!P20*8.33%)+0.5),INT(($J$7*8.33%)+0.5))</f>
        <v>0</v>
      </c>
      <c r="Q29" s="56">
        <f>IF(Input!Q20&lt;=$J$7,INT((Input!Q20*8.33%)+0.5),INT(($J$7*8.33%)+0.5))</f>
        <v>0</v>
      </c>
      <c r="R29" s="56">
        <f>IF(Input!R20&lt;=$J$7,INT((Input!R20*8.33%)+0.5),INT(($J$7*8.33%)+0.5))</f>
        <v>0</v>
      </c>
      <c r="S29" s="55">
        <f>SUM(G29:R29)</f>
        <v>0</v>
      </c>
      <c r="T29" s="146"/>
      <c r="U29" s="131"/>
      <c r="V29" s="132"/>
    </row>
    <row r="30" spans="1:22" ht="30" x14ac:dyDescent="0.25">
      <c r="A30" s="127">
        <v>35643</v>
      </c>
      <c r="B30" s="186">
        <f>Input!K$20</f>
        <v>0</v>
      </c>
      <c r="D30" s="129"/>
      <c r="E30" s="130"/>
      <c r="F30" s="51" t="s">
        <v>113</v>
      </c>
      <c r="G30" s="55">
        <f t="shared" ref="G30:R30" si="2">IF(G28-G29&lt;=0,0,G28-G29)</f>
        <v>0</v>
      </c>
      <c r="H30" s="55">
        <f t="shared" si="2"/>
        <v>0</v>
      </c>
      <c r="I30" s="55">
        <f t="shared" si="2"/>
        <v>0</v>
      </c>
      <c r="J30" s="55">
        <f t="shared" si="2"/>
        <v>0</v>
      </c>
      <c r="K30" s="55">
        <f t="shared" si="2"/>
        <v>0</v>
      </c>
      <c r="L30" s="55">
        <f t="shared" si="2"/>
        <v>0</v>
      </c>
      <c r="M30" s="55">
        <f t="shared" si="2"/>
        <v>0</v>
      </c>
      <c r="N30" s="55">
        <f t="shared" si="2"/>
        <v>0</v>
      </c>
      <c r="O30" s="55">
        <f t="shared" si="2"/>
        <v>0</v>
      </c>
      <c r="P30" s="55">
        <f t="shared" si="2"/>
        <v>0</v>
      </c>
      <c r="Q30" s="55">
        <f t="shared" si="2"/>
        <v>0</v>
      </c>
      <c r="R30" s="55">
        <f t="shared" si="2"/>
        <v>0</v>
      </c>
      <c r="S30" s="55">
        <f>SUM(G30:R30)</f>
        <v>0</v>
      </c>
      <c r="T30" s="146"/>
      <c r="U30" s="131"/>
      <c r="V30" s="132"/>
    </row>
    <row r="31" spans="1:22" x14ac:dyDescent="0.25">
      <c r="A31" s="127">
        <v>35674</v>
      </c>
      <c r="B31" s="186">
        <f>Input!L$20</f>
        <v>0</v>
      </c>
      <c r="D31" s="129"/>
      <c r="E31" s="130" t="s">
        <v>114</v>
      </c>
      <c r="F31" s="51" t="s">
        <v>115</v>
      </c>
      <c r="G31" s="56">
        <f>IF(G27=0,0,IF($T$11&lt;=Input!G19,0,R24+R25+U25))</f>
        <v>0</v>
      </c>
      <c r="H31" s="56">
        <f>IF(H27=0,0,IF($T$11&lt;=Input!H19,0,G30+G31))</f>
        <v>0</v>
      </c>
      <c r="I31" s="56">
        <f>IF(I27=0,0,IF($T$11&lt;=Input!I19,0,H30+H31))</f>
        <v>0</v>
      </c>
      <c r="J31" s="56">
        <f>IF(J27=0,0,IF($T$11&lt;=Input!J19,0,I30+I31))</f>
        <v>0</v>
      </c>
      <c r="K31" s="56">
        <f>IF(K27=0,0,IF($T$11&lt;=Input!K19,0,J30+J31))</f>
        <v>0</v>
      </c>
      <c r="L31" s="56">
        <f>IF(L27=0,0,IF($T$11&lt;=Input!L19,0,K30+K31))</f>
        <v>0</v>
      </c>
      <c r="M31" s="56">
        <f>IF(M27=0,0,IF($T$11&lt;=Input!M19,0,L30+L31))</f>
        <v>0</v>
      </c>
      <c r="N31" s="56">
        <f>IF(N27=0,0,IF($T$11&lt;=Input!N19,0,M30+M31))</f>
        <v>0</v>
      </c>
      <c r="O31" s="56">
        <f>IF(O27=0,0,IF($T$11&lt;=Input!O19,0,N30+N31))</f>
        <v>0</v>
      </c>
      <c r="P31" s="56">
        <f>IF(P27=0,0,IF($T$11&lt;=Input!P19,0,O30+O31))</f>
        <v>0</v>
      </c>
      <c r="Q31" s="56">
        <f>IF(Q27=0,0,IF($T$11&lt;=Input!Q19,0,P30+P31))</f>
        <v>0</v>
      </c>
      <c r="R31" s="56">
        <f>IF(R27=0,0,IF($T$11&lt;=Input!R19,0,Q30+Q31))</f>
        <v>0</v>
      </c>
      <c r="S31" s="55"/>
      <c r="T31" s="106">
        <f>SUM(G30:R30)</f>
        <v>0</v>
      </c>
      <c r="U31" s="55">
        <f>SUM(G32:R32)</f>
        <v>0</v>
      </c>
      <c r="V31" s="108">
        <f>SUM(T31,U31)</f>
        <v>0</v>
      </c>
    </row>
    <row r="32" spans="1:22" x14ac:dyDescent="0.25">
      <c r="A32" s="127">
        <v>35704</v>
      </c>
      <c r="B32" s="186">
        <f>Input!M$20</f>
        <v>0</v>
      </c>
      <c r="D32" s="129"/>
      <c r="E32" s="58">
        <v>0.12</v>
      </c>
      <c r="F32" s="59" t="s">
        <v>116</v>
      </c>
      <c r="G32" s="64">
        <f t="shared" ref="G32:R32" si="3">G31/12*$E32</f>
        <v>0</v>
      </c>
      <c r="H32" s="55">
        <f t="shared" si="3"/>
        <v>0</v>
      </c>
      <c r="I32" s="55">
        <f t="shared" si="3"/>
        <v>0</v>
      </c>
      <c r="J32" s="55">
        <f t="shared" si="3"/>
        <v>0</v>
      </c>
      <c r="K32" s="55">
        <f t="shared" si="3"/>
        <v>0</v>
      </c>
      <c r="L32" s="55">
        <f t="shared" si="3"/>
        <v>0</v>
      </c>
      <c r="M32" s="55">
        <f t="shared" si="3"/>
        <v>0</v>
      </c>
      <c r="N32" s="55">
        <f t="shared" si="3"/>
        <v>0</v>
      </c>
      <c r="O32" s="55">
        <f t="shared" si="3"/>
        <v>0</v>
      </c>
      <c r="P32" s="55">
        <f t="shared" si="3"/>
        <v>0</v>
      </c>
      <c r="Q32" s="55">
        <f t="shared" si="3"/>
        <v>0</v>
      </c>
      <c r="R32" s="55">
        <f t="shared" si="3"/>
        <v>0</v>
      </c>
      <c r="S32" s="55">
        <f>SUM(G32:R32)</f>
        <v>0</v>
      </c>
      <c r="T32" s="107">
        <f>SUM(T19,T25,T31)</f>
        <v>0</v>
      </c>
      <c r="U32" s="62">
        <f>SUM(U19,U25,U31)</f>
        <v>0</v>
      </c>
      <c r="V32" s="109">
        <f>SUM(V19,V25,V31)</f>
        <v>0</v>
      </c>
    </row>
    <row r="33" spans="1:22" x14ac:dyDescent="0.25">
      <c r="A33" s="127">
        <v>35735</v>
      </c>
      <c r="B33" s="186">
        <f>Input!N$20</f>
        <v>0</v>
      </c>
      <c r="D33" s="129">
        <v>4</v>
      </c>
      <c r="E33" s="130" t="s">
        <v>118</v>
      </c>
      <c r="F33" s="47" t="s">
        <v>109</v>
      </c>
      <c r="G33" s="63">
        <v>35886</v>
      </c>
      <c r="H33" s="63">
        <v>35916</v>
      </c>
      <c r="I33" s="63">
        <v>35947</v>
      </c>
      <c r="J33" s="63">
        <v>35977</v>
      </c>
      <c r="K33" s="63">
        <v>36008</v>
      </c>
      <c r="L33" s="63">
        <v>36039</v>
      </c>
      <c r="M33" s="63">
        <v>36069</v>
      </c>
      <c r="N33" s="63">
        <v>36100</v>
      </c>
      <c r="O33" s="63">
        <v>36130</v>
      </c>
      <c r="P33" s="63">
        <v>36161</v>
      </c>
      <c r="Q33" s="63">
        <v>36192</v>
      </c>
      <c r="R33" s="63">
        <v>36220</v>
      </c>
      <c r="S33" s="156">
        <f>SUM(Input!G22:R22)</f>
        <v>0</v>
      </c>
      <c r="T33" s="146"/>
      <c r="U33" s="131"/>
      <c r="V33" s="132"/>
    </row>
    <row r="34" spans="1:22" x14ac:dyDescent="0.25">
      <c r="A34" s="127">
        <v>35765</v>
      </c>
      <c r="B34" s="186">
        <f>Input!O$20</f>
        <v>0</v>
      </c>
      <c r="D34" s="129"/>
      <c r="E34" s="130"/>
      <c r="F34" s="51" t="s">
        <v>110</v>
      </c>
      <c r="G34" s="54">
        <f>IF(Input!G22=0,0,INT((Input!G22*8.33/100)+0.5))</f>
        <v>0</v>
      </c>
      <c r="H34" s="54">
        <f>IF(Input!H22=0,0,INT((Input!H22*8.33/100)+0.5))</f>
        <v>0</v>
      </c>
      <c r="I34" s="54">
        <f>IF(Input!I22=0,0,INT((Input!I22*8.33/100)+0.5))</f>
        <v>0</v>
      </c>
      <c r="J34" s="54">
        <f>IF(Input!J22=0,0,INT((Input!J22*8.33/100)+0.5))</f>
        <v>0</v>
      </c>
      <c r="K34" s="54">
        <f>IF(Input!K22=0,0,INT((Input!K22*8.33/100)+0.5))</f>
        <v>0</v>
      </c>
      <c r="L34" s="54">
        <f>IF(Input!L22=0,0,INT((Input!L22*8.33/100)+0.5))</f>
        <v>0</v>
      </c>
      <c r="M34" s="54">
        <f>IF(Input!M22=0,0,INT((Input!M22*8.33/100)+0.5))</f>
        <v>0</v>
      </c>
      <c r="N34" s="54">
        <f>IF(Input!N22=0,0,INT((Input!N22*8.33/100)+0.5))</f>
        <v>0</v>
      </c>
      <c r="O34" s="54">
        <f>IF(Input!O22=0,0,INT((Input!O22*8.33/100)+0.5))</f>
        <v>0</v>
      </c>
      <c r="P34" s="54">
        <f>IF(Input!P22=0,0,INT((Input!P22*8.33/100)+0.5))</f>
        <v>0</v>
      </c>
      <c r="Q34" s="54">
        <f>IF(Input!Q22=0,0,INT((Input!Q22*8.33/100)+0.5))</f>
        <v>0</v>
      </c>
      <c r="R34" s="54">
        <f>IF(Input!R22=0,0,INT((Input!R22*8.33/100)+0.5))</f>
        <v>0</v>
      </c>
      <c r="S34" s="55">
        <f>SUM(G34:R34)</f>
        <v>0</v>
      </c>
      <c r="T34" s="146"/>
      <c r="U34" s="131"/>
      <c r="V34" s="132"/>
    </row>
    <row r="35" spans="1:22" ht="30" x14ac:dyDescent="0.25">
      <c r="A35" s="127">
        <v>35796</v>
      </c>
      <c r="B35" s="186">
        <f>Input!P$20</f>
        <v>0</v>
      </c>
      <c r="D35" s="129"/>
      <c r="E35" s="130"/>
      <c r="F35" s="51" t="s">
        <v>112</v>
      </c>
      <c r="G35" s="56">
        <f>IF(Input!G22&lt;=$J$7,INT((Input!G22*8.33%)+0.5),INT(($J$7*8.33%)+0.5))</f>
        <v>0</v>
      </c>
      <c r="H35" s="56">
        <f>IF(Input!H22&lt;=$J$7,INT((Input!H22*8.33%)+0.5),INT(($J$7*8.33%)+0.5))</f>
        <v>0</v>
      </c>
      <c r="I35" s="56">
        <f>IF(Input!I22&lt;=$J$7,INT((Input!I22*8.33%)+0.5),INT(($J$7*8.33%)+0.5))</f>
        <v>0</v>
      </c>
      <c r="J35" s="56">
        <f>IF(Input!J22&lt;=$J$7,INT((Input!J22*8.33%)+0.5),INT(($J$7*8.33%)+0.5))</f>
        <v>0</v>
      </c>
      <c r="K35" s="56">
        <f>IF(Input!K22&lt;=$J$7,INT((Input!K22*8.33%)+0.5),INT(($J$7*8.33%)+0.5))</f>
        <v>0</v>
      </c>
      <c r="L35" s="56">
        <f>IF(Input!L22&lt;=$J$7,INT((Input!L22*8.33%)+0.5),INT(($J$7*8.33%)+0.5))</f>
        <v>0</v>
      </c>
      <c r="M35" s="56">
        <f>IF(Input!M22&lt;=$J$7,INT((Input!M22*8.33%)+0.5),INT(($J$7*8.33%)+0.5))</f>
        <v>0</v>
      </c>
      <c r="N35" s="56">
        <f>IF(Input!N22&lt;=$J$7,INT((Input!N22*8.33%)+0.5),INT(($J$7*8.33%)+0.5))</f>
        <v>0</v>
      </c>
      <c r="O35" s="56">
        <f>IF(Input!O22&lt;=$J$7,INT((Input!O22*8.33%)+0.5),INT(($J$7*8.33%)+0.5))</f>
        <v>0</v>
      </c>
      <c r="P35" s="56">
        <f>IF(Input!P22&lt;=$J$7,INT((Input!P22*8.33%)+0.5),INT(($J$7*8.33%)+0.5))</f>
        <v>0</v>
      </c>
      <c r="Q35" s="56">
        <f>IF(Input!Q22&lt;=$J$7,INT((Input!Q22*8.33%)+0.5),INT(($J$7*8.33%)+0.5))</f>
        <v>0</v>
      </c>
      <c r="R35" s="56">
        <f>IF(Input!R22&lt;=$J$7,INT((Input!R22*8.33%)+0.5),INT(($J$7*8.33%)+0.5))</f>
        <v>0</v>
      </c>
      <c r="S35" s="55">
        <f>SUM(G35:R35)</f>
        <v>0</v>
      </c>
      <c r="T35" s="146"/>
      <c r="U35" s="131"/>
      <c r="V35" s="132"/>
    </row>
    <row r="36" spans="1:22" ht="30" x14ac:dyDescent="0.25">
      <c r="A36" s="127">
        <v>35827</v>
      </c>
      <c r="B36" s="186">
        <f>Input!Q$20</f>
        <v>0</v>
      </c>
      <c r="D36" s="129"/>
      <c r="E36" s="130"/>
      <c r="F36" s="51" t="s">
        <v>113</v>
      </c>
      <c r="G36" s="55">
        <f t="shared" ref="G36:R36" si="4">IF(G34-G35&lt;=0,0,G34-G35)</f>
        <v>0</v>
      </c>
      <c r="H36" s="55">
        <f t="shared" si="4"/>
        <v>0</v>
      </c>
      <c r="I36" s="55">
        <f t="shared" si="4"/>
        <v>0</v>
      </c>
      <c r="J36" s="55">
        <f t="shared" si="4"/>
        <v>0</v>
      </c>
      <c r="K36" s="55">
        <f t="shared" si="4"/>
        <v>0</v>
      </c>
      <c r="L36" s="55">
        <f t="shared" si="4"/>
        <v>0</v>
      </c>
      <c r="M36" s="55">
        <f t="shared" si="4"/>
        <v>0</v>
      </c>
      <c r="N36" s="55">
        <f t="shared" si="4"/>
        <v>0</v>
      </c>
      <c r="O36" s="55">
        <f t="shared" si="4"/>
        <v>0</v>
      </c>
      <c r="P36" s="55">
        <f t="shared" si="4"/>
        <v>0</v>
      </c>
      <c r="Q36" s="55">
        <f t="shared" si="4"/>
        <v>0</v>
      </c>
      <c r="R36" s="55">
        <f t="shared" si="4"/>
        <v>0</v>
      </c>
      <c r="S36" s="55">
        <f>SUM(G36:R36)</f>
        <v>0</v>
      </c>
      <c r="T36" s="146"/>
      <c r="U36" s="131"/>
      <c r="V36" s="132"/>
    </row>
    <row r="37" spans="1:22" x14ac:dyDescent="0.25">
      <c r="A37" s="127">
        <v>35855</v>
      </c>
      <c r="B37" s="186">
        <f>Input!R$20</f>
        <v>0</v>
      </c>
      <c r="D37" s="129"/>
      <c r="E37" s="130" t="s">
        <v>114</v>
      </c>
      <c r="F37" s="51" t="s">
        <v>115</v>
      </c>
      <c r="G37" s="56">
        <f>IF(G33=0,0,IF($T$11&lt;=Input!G21,0,R30+R31+U31))</f>
        <v>0</v>
      </c>
      <c r="H37" s="56">
        <f>IF(H33=0,0,IF($T$11&lt;=Input!H21,0,G36+G37))</f>
        <v>0</v>
      </c>
      <c r="I37" s="56">
        <f>IF(I33=0,0,IF($T$11&lt;=Input!I21,0,H36+H37))</f>
        <v>0</v>
      </c>
      <c r="J37" s="56">
        <f>IF(J33=0,0,IF($T$11&lt;=Input!J21,0,I36+I37))</f>
        <v>0</v>
      </c>
      <c r="K37" s="56">
        <f>IF(K33=0,0,IF($T$11&lt;=Input!K21,0,J36+J37))</f>
        <v>0</v>
      </c>
      <c r="L37" s="56">
        <f>IF(L33=0,0,IF($T$11&lt;=Input!L21,0,K36+K37))</f>
        <v>0</v>
      </c>
      <c r="M37" s="56">
        <f>IF(M33=0,0,IF($T$11&lt;=Input!M21,0,L36+L37))</f>
        <v>0</v>
      </c>
      <c r="N37" s="56">
        <f>IF(N33=0,0,IF($T$11&lt;=Input!N21,0,M36+M37))</f>
        <v>0</v>
      </c>
      <c r="O37" s="56">
        <f>IF(O33=0,0,IF($T$11&lt;=Input!O21,0,N36+N37))</f>
        <v>0</v>
      </c>
      <c r="P37" s="56">
        <f>IF(P33=0,0,IF($T$11&lt;=Input!P21,0,O36+O37))</f>
        <v>0</v>
      </c>
      <c r="Q37" s="56">
        <f>IF(Q33=0,0,IF($T$11&lt;=Input!Q21,0,P36+P37))</f>
        <v>0</v>
      </c>
      <c r="R37" s="56">
        <f>IF(R33=0,0,IF($T$11&lt;=Input!R21,0,Q36+Q37))</f>
        <v>0</v>
      </c>
      <c r="S37" s="55"/>
      <c r="T37" s="106">
        <f>SUM(G36:R36)</f>
        <v>0</v>
      </c>
      <c r="U37" s="55">
        <f>SUM(G38:R38)</f>
        <v>0</v>
      </c>
      <c r="V37" s="108">
        <f>SUM(T37,U37)</f>
        <v>0</v>
      </c>
    </row>
    <row r="38" spans="1:22" x14ac:dyDescent="0.25">
      <c r="A38" s="127">
        <v>35886</v>
      </c>
      <c r="B38" s="186">
        <f>Input!G$22</f>
        <v>0</v>
      </c>
      <c r="D38" s="129"/>
      <c r="E38" s="58">
        <v>0.12</v>
      </c>
      <c r="F38" s="59" t="s">
        <v>116</v>
      </c>
      <c r="G38" s="64">
        <f t="shared" ref="G38:R38" si="5">G37/12*$E38</f>
        <v>0</v>
      </c>
      <c r="H38" s="55">
        <f t="shared" si="5"/>
        <v>0</v>
      </c>
      <c r="I38" s="55">
        <f t="shared" si="5"/>
        <v>0</v>
      </c>
      <c r="J38" s="55">
        <f t="shared" si="5"/>
        <v>0</v>
      </c>
      <c r="K38" s="55">
        <f t="shared" si="5"/>
        <v>0</v>
      </c>
      <c r="L38" s="55">
        <f t="shared" si="5"/>
        <v>0</v>
      </c>
      <c r="M38" s="55">
        <f t="shared" si="5"/>
        <v>0</v>
      </c>
      <c r="N38" s="55">
        <f t="shared" si="5"/>
        <v>0</v>
      </c>
      <c r="O38" s="55">
        <f t="shared" si="5"/>
        <v>0</v>
      </c>
      <c r="P38" s="55">
        <f t="shared" si="5"/>
        <v>0</v>
      </c>
      <c r="Q38" s="55">
        <f t="shared" si="5"/>
        <v>0</v>
      </c>
      <c r="R38" s="55">
        <f t="shared" si="5"/>
        <v>0</v>
      </c>
      <c r="S38" s="55">
        <f>SUM(G38:R38)</f>
        <v>0</v>
      </c>
      <c r="T38" s="107">
        <f>SUM(T19,T25,T31,T37)</f>
        <v>0</v>
      </c>
      <c r="U38" s="62">
        <f>SUM(U19,U25,U31,U37)</f>
        <v>0</v>
      </c>
      <c r="V38" s="109">
        <f>SUM(V19,V25,V31,V37)</f>
        <v>0</v>
      </c>
    </row>
    <row r="39" spans="1:22" x14ac:dyDescent="0.25">
      <c r="A39" s="127">
        <v>35916</v>
      </c>
      <c r="B39" s="186">
        <f>Input!H$22</f>
        <v>0</v>
      </c>
      <c r="D39" s="129">
        <v>5</v>
      </c>
      <c r="E39" s="130" t="s">
        <v>119</v>
      </c>
      <c r="F39" s="47" t="s">
        <v>109</v>
      </c>
      <c r="G39" s="63">
        <v>36251</v>
      </c>
      <c r="H39" s="63">
        <v>36281</v>
      </c>
      <c r="I39" s="63">
        <v>36312</v>
      </c>
      <c r="J39" s="63">
        <v>36342</v>
      </c>
      <c r="K39" s="63">
        <v>36373</v>
      </c>
      <c r="L39" s="63">
        <v>36404</v>
      </c>
      <c r="M39" s="63">
        <v>36434</v>
      </c>
      <c r="N39" s="63">
        <v>36465</v>
      </c>
      <c r="O39" s="63">
        <v>36495</v>
      </c>
      <c r="P39" s="63">
        <v>36526</v>
      </c>
      <c r="Q39" s="63">
        <v>36557</v>
      </c>
      <c r="R39" s="63">
        <v>36586</v>
      </c>
      <c r="S39" s="156">
        <f>SUM(Input!G24:R24)</f>
        <v>0</v>
      </c>
      <c r="T39" s="146"/>
      <c r="U39" s="131"/>
      <c r="V39" s="132"/>
    </row>
    <row r="40" spans="1:22" x14ac:dyDescent="0.25">
      <c r="A40" s="127">
        <v>35947</v>
      </c>
      <c r="B40" s="186">
        <f>Input!I$22</f>
        <v>0</v>
      </c>
      <c r="D40" s="129"/>
      <c r="E40" s="130"/>
      <c r="F40" s="51" t="s">
        <v>110</v>
      </c>
      <c r="G40" s="54">
        <f>IF(Input!G24=0,0,INT((Input!G24*8.33/100)+0.5))</f>
        <v>0</v>
      </c>
      <c r="H40" s="54">
        <f>IF(Input!H24=0,0,INT((Input!H24*8.33/100)+0.5))</f>
        <v>0</v>
      </c>
      <c r="I40" s="54">
        <f>IF(Input!I24=0,0,INT((Input!I24*8.33/100)+0.5))</f>
        <v>0</v>
      </c>
      <c r="J40" s="54">
        <f>IF(Input!J24=0,0,INT((Input!J24*8.33/100)+0.5))</f>
        <v>0</v>
      </c>
      <c r="K40" s="54">
        <f>IF(Input!K24=0,0,INT((Input!K24*8.33/100)+0.5))</f>
        <v>0</v>
      </c>
      <c r="L40" s="54">
        <f>IF(Input!L24=0,0,INT((Input!L24*8.33/100)+0.5))</f>
        <v>0</v>
      </c>
      <c r="M40" s="54">
        <f>IF(Input!M24=0,0,INT((Input!M24*8.33/100)+0.5))</f>
        <v>0</v>
      </c>
      <c r="N40" s="54">
        <f>IF(Input!N24=0,0,INT((Input!N24*8.33/100)+0.5))</f>
        <v>0</v>
      </c>
      <c r="O40" s="54">
        <f>IF(Input!O24=0,0,INT((Input!O24*8.33/100)+0.5))</f>
        <v>0</v>
      </c>
      <c r="P40" s="54">
        <f>IF(Input!P24=0,0,INT((Input!P24*8.33/100)+0.5))</f>
        <v>0</v>
      </c>
      <c r="Q40" s="54">
        <f>IF(Input!Q24=0,0,INT((Input!Q24*8.33/100)+0.5))</f>
        <v>0</v>
      </c>
      <c r="R40" s="54">
        <f>IF(Input!R24=0,0,INT((Input!R24*8.33/100)+0.5))</f>
        <v>0</v>
      </c>
      <c r="S40" s="55">
        <f>SUM(G40:R40)</f>
        <v>0</v>
      </c>
      <c r="T40" s="146"/>
      <c r="U40" s="131"/>
      <c r="V40" s="132"/>
    </row>
    <row r="41" spans="1:22" ht="30" x14ac:dyDescent="0.25">
      <c r="A41" s="127">
        <v>35977</v>
      </c>
      <c r="B41" s="186">
        <f>Input!J$22</f>
        <v>0</v>
      </c>
      <c r="D41" s="129"/>
      <c r="E41" s="130"/>
      <c r="F41" s="51" t="s">
        <v>112</v>
      </c>
      <c r="G41" s="56">
        <f>IF(Input!G24&lt;=$J$7,INT((Input!G24*8.33%)+0.5),INT(($J$7*8.33%)+0.5))</f>
        <v>0</v>
      </c>
      <c r="H41" s="56">
        <f>IF(Input!H24&lt;=$J$7,INT((Input!H24*8.33%)+0.5),INT(($J$7*8.33%)+0.5))</f>
        <v>0</v>
      </c>
      <c r="I41" s="56">
        <f>IF(Input!I24&lt;=$J$7,INT((Input!I24*8.33%)+0.5),INT(($J$7*8.33%)+0.5))</f>
        <v>0</v>
      </c>
      <c r="J41" s="56">
        <f>IF(Input!J24&lt;=$J$7,INT((Input!J24*8.33%)+0.5),INT(($J$7*8.33%)+0.5))</f>
        <v>0</v>
      </c>
      <c r="K41" s="56">
        <f>IF(Input!K24&lt;=$J$7,INT((Input!K24*8.33%)+0.5),INT(($J$7*8.33%)+0.5))</f>
        <v>0</v>
      </c>
      <c r="L41" s="56">
        <f>IF(Input!L24&lt;=$J$7,INT((Input!L24*8.33%)+0.5),INT(($J$7*8.33%)+0.5))</f>
        <v>0</v>
      </c>
      <c r="M41" s="56">
        <f>IF(Input!M24&lt;=$J$7,INT((Input!M24*8.33%)+0.5),INT(($J$7*8.33%)+0.5))</f>
        <v>0</v>
      </c>
      <c r="N41" s="56">
        <f>IF(Input!N24&lt;=$J$7,INT((Input!N24*8.33%)+0.5),INT(($J$7*8.33%)+0.5))</f>
        <v>0</v>
      </c>
      <c r="O41" s="56">
        <f>IF(Input!O24&lt;=$J$7,INT((Input!O24*8.33%)+0.5),INT(($J$7*8.33%)+0.5))</f>
        <v>0</v>
      </c>
      <c r="P41" s="56">
        <f>IF(Input!P24&lt;=$J$7,INT((Input!P24*8.33%)+0.5),INT(($J$7*8.33%)+0.5))</f>
        <v>0</v>
      </c>
      <c r="Q41" s="56">
        <f>IF(Input!Q24&lt;=$J$7,INT((Input!Q24*8.33%)+0.5),INT(($J$7*8.33%)+0.5))</f>
        <v>0</v>
      </c>
      <c r="R41" s="56">
        <f>IF(Input!R24&lt;=$J$7,INT((Input!R24*8.33%)+0.5),INT(($J$7*8.33%)+0.5))</f>
        <v>0</v>
      </c>
      <c r="S41" s="55">
        <f>SUM(G41:R41)</f>
        <v>0</v>
      </c>
      <c r="T41" s="146"/>
      <c r="U41" s="131"/>
      <c r="V41" s="132"/>
    </row>
    <row r="42" spans="1:22" ht="30" x14ac:dyDescent="0.25">
      <c r="A42" s="127">
        <v>36008</v>
      </c>
      <c r="B42" s="186">
        <f>Input!K$22</f>
        <v>0</v>
      </c>
      <c r="D42" s="129"/>
      <c r="E42" s="130"/>
      <c r="F42" s="51" t="s">
        <v>113</v>
      </c>
      <c r="G42" s="55">
        <f t="shared" ref="G42:R42" si="6">IF(G40-G41&lt;=0,0,G40-G41)</f>
        <v>0</v>
      </c>
      <c r="H42" s="55">
        <f t="shared" si="6"/>
        <v>0</v>
      </c>
      <c r="I42" s="55">
        <f t="shared" si="6"/>
        <v>0</v>
      </c>
      <c r="J42" s="55">
        <f t="shared" si="6"/>
        <v>0</v>
      </c>
      <c r="K42" s="55">
        <f t="shared" si="6"/>
        <v>0</v>
      </c>
      <c r="L42" s="55">
        <f t="shared" si="6"/>
        <v>0</v>
      </c>
      <c r="M42" s="55">
        <f t="shared" si="6"/>
        <v>0</v>
      </c>
      <c r="N42" s="55">
        <f t="shared" si="6"/>
        <v>0</v>
      </c>
      <c r="O42" s="55">
        <f t="shared" si="6"/>
        <v>0</v>
      </c>
      <c r="P42" s="55">
        <f t="shared" si="6"/>
        <v>0</v>
      </c>
      <c r="Q42" s="55">
        <f t="shared" si="6"/>
        <v>0</v>
      </c>
      <c r="R42" s="55">
        <f t="shared" si="6"/>
        <v>0</v>
      </c>
      <c r="S42" s="55">
        <f>SUM(G42:R42)</f>
        <v>0</v>
      </c>
      <c r="T42" s="146"/>
      <c r="U42" s="131"/>
      <c r="V42" s="132"/>
    </row>
    <row r="43" spans="1:22" x14ac:dyDescent="0.25">
      <c r="A43" s="127">
        <v>36039</v>
      </c>
      <c r="B43" s="186">
        <f>Input!L$22</f>
        <v>0</v>
      </c>
      <c r="D43" s="129"/>
      <c r="E43" s="130" t="s">
        <v>114</v>
      </c>
      <c r="F43" s="51" t="s">
        <v>115</v>
      </c>
      <c r="G43" s="56">
        <f>IF(G39=0,0,IF($T$11&lt;=Input!G23,0,R36+R37+U37))</f>
        <v>0</v>
      </c>
      <c r="H43" s="56">
        <f>IF(H39=0,0,IF($T$11&lt;=Input!H23,0,G42+G43))</f>
        <v>0</v>
      </c>
      <c r="I43" s="56">
        <f>IF(I39=0,0,IF($T$11&lt;=Input!I23,0,H42+H43))</f>
        <v>0</v>
      </c>
      <c r="J43" s="56">
        <f>IF(J39=0,0,IF($T$11&lt;=Input!J23,0,I42+I43))</f>
        <v>0</v>
      </c>
      <c r="K43" s="56">
        <f>IF(K39=0,0,IF($T$11&lt;=Input!K23,0,J42+J43))</f>
        <v>0</v>
      </c>
      <c r="L43" s="56">
        <f>IF(L39=0,0,IF($T$11&lt;=Input!L23,0,K42+K43))</f>
        <v>0</v>
      </c>
      <c r="M43" s="56">
        <f>IF(M39=0,0,IF($T$11&lt;=Input!M23,0,L42+L43))</f>
        <v>0</v>
      </c>
      <c r="N43" s="56">
        <f>IF(N39=0,0,IF($T$11&lt;=Input!N23,0,M42+M43))</f>
        <v>0</v>
      </c>
      <c r="O43" s="56">
        <f>IF(O39=0,0,IF($T$11&lt;=Input!O23,0,N42+N43))</f>
        <v>0</v>
      </c>
      <c r="P43" s="56">
        <f>IF(P39=0,0,IF($T$11&lt;=Input!P23,0,O42+O43))</f>
        <v>0</v>
      </c>
      <c r="Q43" s="56">
        <f>IF(Q39=0,0,IF($T$11&lt;=Input!Q23,0,P42+P43))</f>
        <v>0</v>
      </c>
      <c r="R43" s="56">
        <f>IF(R39=0,0,IF($T$11&lt;=Input!R23,0,Q42+Q43))</f>
        <v>0</v>
      </c>
      <c r="S43" s="55"/>
      <c r="T43" s="106">
        <f>SUM(G42:R42)</f>
        <v>0</v>
      </c>
      <c r="U43" s="55">
        <f>SUM(G44:R44)</f>
        <v>0</v>
      </c>
      <c r="V43" s="108">
        <f>SUM(T43,U43)</f>
        <v>0</v>
      </c>
    </row>
    <row r="44" spans="1:22" x14ac:dyDescent="0.25">
      <c r="A44" s="127">
        <v>36069</v>
      </c>
      <c r="B44" s="186">
        <f>Input!M$22</f>
        <v>0</v>
      </c>
      <c r="D44" s="129"/>
      <c r="E44" s="58">
        <v>0.12</v>
      </c>
      <c r="F44" s="59" t="s">
        <v>116</v>
      </c>
      <c r="G44" s="64">
        <f t="shared" ref="G44:R44" si="7">G43/12*$E44</f>
        <v>0</v>
      </c>
      <c r="H44" s="55">
        <f t="shared" si="7"/>
        <v>0</v>
      </c>
      <c r="I44" s="55">
        <f t="shared" si="7"/>
        <v>0</v>
      </c>
      <c r="J44" s="55">
        <f t="shared" si="7"/>
        <v>0</v>
      </c>
      <c r="K44" s="55">
        <f t="shared" si="7"/>
        <v>0</v>
      </c>
      <c r="L44" s="55">
        <f t="shared" si="7"/>
        <v>0</v>
      </c>
      <c r="M44" s="55">
        <f t="shared" si="7"/>
        <v>0</v>
      </c>
      <c r="N44" s="55">
        <f t="shared" si="7"/>
        <v>0</v>
      </c>
      <c r="O44" s="55">
        <f t="shared" si="7"/>
        <v>0</v>
      </c>
      <c r="P44" s="55">
        <f t="shared" si="7"/>
        <v>0</v>
      </c>
      <c r="Q44" s="55">
        <f t="shared" si="7"/>
        <v>0</v>
      </c>
      <c r="R44" s="55">
        <f t="shared" si="7"/>
        <v>0</v>
      </c>
      <c r="S44" s="55">
        <f>SUM(G44:R44)</f>
        <v>0</v>
      </c>
      <c r="T44" s="107">
        <f>SUM(T19,T25,T31,T37,T43)</f>
        <v>0</v>
      </c>
      <c r="U44" s="62">
        <f>SUM(U19,U25,U31,U37,U43)</f>
        <v>0</v>
      </c>
      <c r="V44" s="109">
        <f>SUM(V19,V25,V31,V37,V43)</f>
        <v>0</v>
      </c>
    </row>
    <row r="45" spans="1:22" x14ac:dyDescent="0.25">
      <c r="A45" s="127">
        <v>36100</v>
      </c>
      <c r="B45" s="186">
        <f>Input!N$22</f>
        <v>0</v>
      </c>
      <c r="D45" s="129">
        <v>6</v>
      </c>
      <c r="E45" s="130" t="s">
        <v>120</v>
      </c>
      <c r="F45" s="47" t="s">
        <v>109</v>
      </c>
      <c r="G45" s="63">
        <v>36617</v>
      </c>
      <c r="H45" s="63">
        <v>36647</v>
      </c>
      <c r="I45" s="63">
        <v>36678</v>
      </c>
      <c r="J45" s="63">
        <v>36708</v>
      </c>
      <c r="K45" s="63">
        <v>36739</v>
      </c>
      <c r="L45" s="63">
        <v>36770</v>
      </c>
      <c r="M45" s="63">
        <v>36800</v>
      </c>
      <c r="N45" s="63">
        <v>36831</v>
      </c>
      <c r="O45" s="63">
        <v>36861</v>
      </c>
      <c r="P45" s="63">
        <v>36892</v>
      </c>
      <c r="Q45" s="63">
        <v>36923</v>
      </c>
      <c r="R45" s="63">
        <v>36951</v>
      </c>
      <c r="S45" s="156">
        <f>SUM(Input!G26:R26)</f>
        <v>0</v>
      </c>
      <c r="T45" s="146"/>
      <c r="U45" s="131"/>
      <c r="V45" s="132"/>
    </row>
    <row r="46" spans="1:22" x14ac:dyDescent="0.25">
      <c r="A46" s="127">
        <v>36130</v>
      </c>
      <c r="B46" s="186">
        <f>Input!O$22</f>
        <v>0</v>
      </c>
      <c r="D46" s="129"/>
      <c r="E46" s="130"/>
      <c r="F46" s="51" t="s">
        <v>110</v>
      </c>
      <c r="G46" s="54">
        <f>IF(Input!G26=0,0,INT((Input!G26*8.33/100)+0.5))</f>
        <v>0</v>
      </c>
      <c r="H46" s="54">
        <f>IF(Input!H26=0,0,INT((Input!H26*8.33/100)+0.5))</f>
        <v>0</v>
      </c>
      <c r="I46" s="54">
        <f>IF(Input!I26=0,0,INT((Input!I26*8.33/100)+0.5))</f>
        <v>0</v>
      </c>
      <c r="J46" s="54">
        <f>IF(Input!J26=0,0,INT((Input!J26*8.33/100)+0.5))</f>
        <v>0</v>
      </c>
      <c r="K46" s="54">
        <f>IF(Input!K26=0,0,INT((Input!K26*8.33/100)+0.5))</f>
        <v>0</v>
      </c>
      <c r="L46" s="54">
        <f>IF(Input!L26=0,0,INT((Input!L26*8.33/100)+0.5))</f>
        <v>0</v>
      </c>
      <c r="M46" s="54">
        <f>IF(Input!M26=0,0,INT((Input!M26*8.33/100)+0.5))</f>
        <v>0</v>
      </c>
      <c r="N46" s="54">
        <f>IF(Input!N26=0,0,INT((Input!N26*8.33/100)+0.5))</f>
        <v>0</v>
      </c>
      <c r="O46" s="54">
        <f>IF(Input!O26=0,0,INT((Input!O26*8.33/100)+0.5))</f>
        <v>0</v>
      </c>
      <c r="P46" s="54">
        <f>IF(Input!P26=0,0,INT((Input!P26*8.33/100)+0.5))</f>
        <v>0</v>
      </c>
      <c r="Q46" s="54">
        <f>IF(Input!Q26=0,0,INT((Input!Q26*8.33/100)+0.5))</f>
        <v>0</v>
      </c>
      <c r="R46" s="54">
        <f>IF(Input!R26=0,0,INT((Input!R26*8.33/100)+0.5))</f>
        <v>0</v>
      </c>
      <c r="S46" s="55">
        <f>SUM(G46:R46)</f>
        <v>0</v>
      </c>
      <c r="T46" s="146"/>
      <c r="U46" s="131"/>
      <c r="V46" s="132"/>
    </row>
    <row r="47" spans="1:22" ht="30" x14ac:dyDescent="0.25">
      <c r="A47" s="127">
        <v>36161</v>
      </c>
      <c r="B47" s="186">
        <f>Input!P$22</f>
        <v>0</v>
      </c>
      <c r="D47" s="129"/>
      <c r="E47" s="65" t="s">
        <v>160</v>
      </c>
      <c r="F47" s="51" t="s">
        <v>112</v>
      </c>
      <c r="G47" s="56">
        <f>IF(Input!G26&lt;=$J$7,INT((Input!G26*8.33%)+0.5),INT(($J$7*8.33%)+0.5))</f>
        <v>0</v>
      </c>
      <c r="H47" s="56">
        <f>IF(Input!H26&lt;=$J$7,INT((Input!H26*8.33%)+0.5),INT(($J$7*8.33%)+0.5))</f>
        <v>0</v>
      </c>
      <c r="I47" s="56">
        <f>IF(Input!I26&lt;=$J$7,INT((Input!I26*8.33%)+0.5),INT(($J$7*8.33%)+0.5))</f>
        <v>0</v>
      </c>
      <c r="J47" s="56">
        <f>IF(Input!J26&lt;=$J$7,INT((Input!J26*8.33%)+0.5),INT(($J$7*8.33%)+0.5))</f>
        <v>0</v>
      </c>
      <c r="K47" s="56">
        <f>IF(Input!K26&lt;=$J$7,INT((Input!K26*8.33%)+0.5),INT(($J$7*8.33%)+0.5))</f>
        <v>0</v>
      </c>
      <c r="L47" s="56">
        <f>IF(Input!L26&lt;=$J$7,INT((Input!L26*8.33%)+0.5),INT(($J$7*8.33%)+0.5))</f>
        <v>0</v>
      </c>
      <c r="M47" s="56">
        <f>IF(Input!M26&lt;=$J$7,INT((Input!M26*8.33%)+0.5),INT(($J$7*8.33%)+0.5))</f>
        <v>0</v>
      </c>
      <c r="N47" s="56">
        <f>IF(Input!N26&lt;=$J$7,INT((Input!N26*8.33%)+0.5),INT(($J$7*8.33%)+0.5))</f>
        <v>0</v>
      </c>
      <c r="O47" s="56">
        <f>IF(Input!O26&lt;=$J$7,INT((Input!O26*8.33%)+0.5),INT(($J$7*8.33%)+0.5))</f>
        <v>0</v>
      </c>
      <c r="P47" s="56">
        <f>IF(Input!P26&lt;=$J$7,INT((Input!P26*8.33%)+0.5),INT(($J$7*8.33%)+0.5))</f>
        <v>0</v>
      </c>
      <c r="Q47" s="56">
        <f>IF(Input!Q26&lt;=$J$7,INT((Input!Q26*8.33%)+0.5),INT(($J$7*8.33%)+0.5))</f>
        <v>0</v>
      </c>
      <c r="R47" s="56">
        <f>IF(Input!R26&lt;=$J$7,INT((Input!R26*8.33%)+0.5),INT(($J$7*8.33%)+0.5))</f>
        <v>0</v>
      </c>
      <c r="S47" s="55">
        <f>SUM(G47:R47)</f>
        <v>0</v>
      </c>
      <c r="T47" s="146"/>
      <c r="U47" s="131"/>
      <c r="V47" s="132"/>
    </row>
    <row r="48" spans="1:22" ht="30" x14ac:dyDescent="0.25">
      <c r="A48" s="127">
        <v>36192</v>
      </c>
      <c r="B48" s="186">
        <f>Input!Q$22</f>
        <v>0</v>
      </c>
      <c r="D48" s="129"/>
      <c r="E48" s="66">
        <v>0.12</v>
      </c>
      <c r="F48" s="51" t="s">
        <v>113</v>
      </c>
      <c r="G48" s="55">
        <f t="shared" ref="G48:R48" si="8">IF(G46-G47&lt;=0,0,G46-G47)</f>
        <v>0</v>
      </c>
      <c r="H48" s="55">
        <f t="shared" si="8"/>
        <v>0</v>
      </c>
      <c r="I48" s="55">
        <f t="shared" si="8"/>
        <v>0</v>
      </c>
      <c r="J48" s="55">
        <f t="shared" si="8"/>
        <v>0</v>
      </c>
      <c r="K48" s="55">
        <f t="shared" si="8"/>
        <v>0</v>
      </c>
      <c r="L48" s="55">
        <f t="shared" si="8"/>
        <v>0</v>
      </c>
      <c r="M48" s="55">
        <f t="shared" si="8"/>
        <v>0</v>
      </c>
      <c r="N48" s="55">
        <f t="shared" si="8"/>
        <v>0</v>
      </c>
      <c r="O48" s="55">
        <f t="shared" si="8"/>
        <v>0</v>
      </c>
      <c r="P48" s="55">
        <f t="shared" si="8"/>
        <v>0</v>
      </c>
      <c r="Q48" s="55">
        <f t="shared" si="8"/>
        <v>0</v>
      </c>
      <c r="R48" s="55">
        <f t="shared" si="8"/>
        <v>0</v>
      </c>
      <c r="S48" s="55">
        <f>SUM(G48:R48)</f>
        <v>0</v>
      </c>
      <c r="T48" s="146"/>
      <c r="U48" s="131"/>
      <c r="V48" s="132"/>
    </row>
    <row r="49" spans="1:22" ht="30" x14ac:dyDescent="0.25">
      <c r="A49" s="127">
        <v>36220</v>
      </c>
      <c r="B49" s="186">
        <f>Input!R$22</f>
        <v>0</v>
      </c>
      <c r="D49" s="129"/>
      <c r="E49" s="67" t="s">
        <v>159</v>
      </c>
      <c r="F49" s="51" t="s">
        <v>115</v>
      </c>
      <c r="G49" s="56">
        <f>IF(G45=0,0,IF($T$11&lt;=Input!G25,0,R42+R43+U43))</f>
        <v>0</v>
      </c>
      <c r="H49" s="56">
        <f>IF(H45=0,0,IF($T$11&lt;=Input!H25,0,G48+G49))</f>
        <v>0</v>
      </c>
      <c r="I49" s="56">
        <f>IF(I45=0,0,IF($T$11&lt;=Input!I25,0,H48+H49))</f>
        <v>0</v>
      </c>
      <c r="J49" s="56">
        <f>IF(J45=0,0,IF($T$11&lt;=Input!J25,0,I48+I49))</f>
        <v>0</v>
      </c>
      <c r="K49" s="56">
        <f>IF(K45=0,0,IF($T$11&lt;=Input!K25,0,J48+J49))</f>
        <v>0</v>
      </c>
      <c r="L49" s="56">
        <f>IF(L45=0,0,IF($T$11&lt;=Input!L25,0,K48+K49))</f>
        <v>0</v>
      </c>
      <c r="M49" s="56">
        <f>IF(M45=0,0,IF($T$11&lt;=Input!M25,0,L48+L49))</f>
        <v>0</v>
      </c>
      <c r="N49" s="56">
        <f>IF(N45=0,0,IF($T$11&lt;=Input!N25,0,M48+M49))</f>
        <v>0</v>
      </c>
      <c r="O49" s="56">
        <f>IF(O45=0,0,IF($T$11&lt;=Input!O25,0,N48+N49))</f>
        <v>0</v>
      </c>
      <c r="P49" s="56">
        <f>IF(P45=0,0,IF($T$11&lt;=Input!P25,0,O48+O49))</f>
        <v>0</v>
      </c>
      <c r="Q49" s="56">
        <f>IF(Q45=0,0,IF($T$11&lt;=Input!Q25,0,P48+P49))</f>
        <v>0</v>
      </c>
      <c r="R49" s="56">
        <f>IF(R45=0,0,IF($T$11&lt;=Input!R25,0,Q48+Q49))</f>
        <v>0</v>
      </c>
      <c r="S49" s="55"/>
      <c r="T49" s="106">
        <f>SUM(G48:R48)</f>
        <v>0</v>
      </c>
      <c r="U49" s="55">
        <f>SUM(G50:R50)</f>
        <v>0</v>
      </c>
      <c r="V49" s="108">
        <f>SUM(T49,U49)</f>
        <v>0</v>
      </c>
    </row>
    <row r="50" spans="1:22" x14ac:dyDescent="0.25">
      <c r="A50" s="127">
        <v>36251</v>
      </c>
      <c r="B50" s="186">
        <f>Input!G$24</f>
        <v>0</v>
      </c>
      <c r="D50" s="129"/>
      <c r="E50" s="68">
        <v>0.11</v>
      </c>
      <c r="F50" s="59" t="s">
        <v>116</v>
      </c>
      <c r="G50" s="69">
        <f>G49/12*$E48</f>
        <v>0</v>
      </c>
      <c r="H50" s="70">
        <f>H49/12*$E48</f>
        <v>0</v>
      </c>
      <c r="I50" s="70">
        <f>I49/12*$E48</f>
        <v>0</v>
      </c>
      <c r="J50" s="71">
        <f t="shared" ref="J50:R50" si="9">J49/12*$E50</f>
        <v>0</v>
      </c>
      <c r="K50" s="71">
        <f t="shared" si="9"/>
        <v>0</v>
      </c>
      <c r="L50" s="71">
        <f t="shared" si="9"/>
        <v>0</v>
      </c>
      <c r="M50" s="71">
        <f t="shared" si="9"/>
        <v>0</v>
      </c>
      <c r="N50" s="71">
        <f t="shared" si="9"/>
        <v>0</v>
      </c>
      <c r="O50" s="71">
        <f t="shared" si="9"/>
        <v>0</v>
      </c>
      <c r="P50" s="71">
        <f t="shared" si="9"/>
        <v>0</v>
      </c>
      <c r="Q50" s="71">
        <f t="shared" si="9"/>
        <v>0</v>
      </c>
      <c r="R50" s="71">
        <f t="shared" si="9"/>
        <v>0</v>
      </c>
      <c r="S50" s="55">
        <f>SUM(G50:R50)</f>
        <v>0</v>
      </c>
      <c r="T50" s="107">
        <f>SUM(T19,T25,T31,T37,T43,T49)</f>
        <v>0</v>
      </c>
      <c r="U50" s="62">
        <f>SUM(U19,U25,U31,U37,U43,U49)</f>
        <v>0</v>
      </c>
      <c r="V50" s="109">
        <f>SUM(V19,V25,V31,V37,V43,V49)</f>
        <v>0</v>
      </c>
    </row>
    <row r="51" spans="1:22" x14ac:dyDescent="0.25">
      <c r="A51" s="127">
        <v>36281</v>
      </c>
      <c r="B51" s="186">
        <f>Input!H$24</f>
        <v>0</v>
      </c>
      <c r="D51" s="129">
        <v>7</v>
      </c>
      <c r="E51" s="129" t="s">
        <v>121</v>
      </c>
      <c r="F51" s="47" t="s">
        <v>109</v>
      </c>
      <c r="G51" s="63">
        <v>36982</v>
      </c>
      <c r="H51" s="72">
        <v>37012</v>
      </c>
      <c r="I51" s="72">
        <v>37043</v>
      </c>
      <c r="J51" s="73">
        <v>37073</v>
      </c>
      <c r="K51" s="63">
        <v>37104</v>
      </c>
      <c r="L51" s="63">
        <v>37135</v>
      </c>
      <c r="M51" s="63">
        <v>37165</v>
      </c>
      <c r="N51" s="63">
        <v>37196</v>
      </c>
      <c r="O51" s="63">
        <v>37226</v>
      </c>
      <c r="P51" s="63">
        <v>37257</v>
      </c>
      <c r="Q51" s="63">
        <v>37288</v>
      </c>
      <c r="R51" s="63">
        <v>37316</v>
      </c>
      <c r="S51" s="156">
        <f>SUM(Input!G28:R28)</f>
        <v>0</v>
      </c>
      <c r="T51" s="147"/>
      <c r="U51" s="137"/>
      <c r="V51" s="138"/>
    </row>
    <row r="52" spans="1:22" x14ac:dyDescent="0.25">
      <c r="A52" s="127">
        <v>36312</v>
      </c>
      <c r="B52" s="186">
        <f>Input!I$24</f>
        <v>0</v>
      </c>
      <c r="D52" s="129"/>
      <c r="E52" s="129"/>
      <c r="F52" s="51" t="s">
        <v>110</v>
      </c>
      <c r="G52" s="54">
        <f>IF(Input!G28=0,0,INT((Input!G28*8.33/100)+0.5))</f>
        <v>0</v>
      </c>
      <c r="H52" s="54">
        <f>IF(Input!H28=0,0,INT((Input!H28*8.33/100)+0.5))</f>
        <v>0</v>
      </c>
      <c r="I52" s="54">
        <f>IF(Input!I28=0,0,INT((Input!I28*8.33/100)+0.5))</f>
        <v>0</v>
      </c>
      <c r="J52" s="74">
        <f>IF(Input!J28=0,0,INT((Input!J28*8.33/100)+0.5))</f>
        <v>0</v>
      </c>
      <c r="K52" s="54">
        <f>IF(Input!K28=0,0,INT((Input!K28*8.33/100)+0.5))</f>
        <v>0</v>
      </c>
      <c r="L52" s="54">
        <f>IF(Input!L28=0,0,INT((Input!L28*8.33/100)+0.5))</f>
        <v>0</v>
      </c>
      <c r="M52" s="54">
        <f>IF(Input!M28=0,0,INT((Input!M28*8.33/100)+0.5))</f>
        <v>0</v>
      </c>
      <c r="N52" s="54">
        <f>IF(Input!N28=0,0,INT((Input!N28*8.33/100)+0.5))</f>
        <v>0</v>
      </c>
      <c r="O52" s="54">
        <f>IF(Input!O28=0,0,INT((Input!O28*8.33/100)+0.5))</f>
        <v>0</v>
      </c>
      <c r="P52" s="54">
        <f>IF(Input!P28=0,0,INT((Input!P28*8.33/100)+0.5))</f>
        <v>0</v>
      </c>
      <c r="Q52" s="54">
        <f>IF(Input!Q28=0,0,INT((Input!Q28*8.33/100)+0.5))</f>
        <v>0</v>
      </c>
      <c r="R52" s="54">
        <f>IF(Input!R28=0,0,INT((Input!R28*8.33/100)+0.5))</f>
        <v>0</v>
      </c>
      <c r="S52" s="55">
        <f>SUM(G52:R52)</f>
        <v>0</v>
      </c>
      <c r="T52" s="147"/>
      <c r="U52" s="137"/>
      <c r="V52" s="138"/>
    </row>
    <row r="53" spans="1:22" ht="30" x14ac:dyDescent="0.25">
      <c r="A53" s="127">
        <v>36342</v>
      </c>
      <c r="B53" s="186">
        <f>Input!J$24</f>
        <v>0</v>
      </c>
      <c r="D53" s="129"/>
      <c r="E53" s="129"/>
      <c r="F53" s="51" t="s">
        <v>112</v>
      </c>
      <c r="G53" s="56">
        <f>IF(Input!G28&lt;=$J$7,INT((Input!G28*8.33%)+0.5),INT(($J$7*8.33%)+0.5))</f>
        <v>0</v>
      </c>
      <c r="H53" s="56">
        <f>IF(Input!H28&lt;=$J$7,INT((Input!H28*8.33%)+0.5),INT(($J$7*8.33%)+0.5))</f>
        <v>0</v>
      </c>
      <c r="I53" s="56">
        <f>IF(Input!I28&lt;=$J$7,INT((Input!I28*8.33%)+0.5),INT(($J$7*8.33%)+0.5))</f>
        <v>0</v>
      </c>
      <c r="J53" s="74">
        <f>IF(Input!J28&lt;=$P$7,INT((Input!J28*8.33%)+0.5),INT(($P$7*8.33%)+0.5))</f>
        <v>0</v>
      </c>
      <c r="K53" s="54">
        <f>IF(Input!K28&lt;=$P$7,INT((Input!K28*8.33%)+0.5),INT(($P$7*8.33%)+0.5))</f>
        <v>0</v>
      </c>
      <c r="L53" s="54">
        <f>IF(Input!L28&lt;=$P$7,INT((Input!L28*8.33%)+0.5),INT(($P$7*8.33%)+0.5))</f>
        <v>0</v>
      </c>
      <c r="M53" s="54">
        <f>IF(Input!M28&lt;=$P$7,INT((Input!M28*8.33%)+0.5),INT(($P$7*8.33%)+0.5))</f>
        <v>0</v>
      </c>
      <c r="N53" s="54">
        <f>IF(Input!N28&lt;=$P$7,INT((Input!N28*8.33%)+0.5),INT(($P$7*8.33%)+0.5))</f>
        <v>0</v>
      </c>
      <c r="O53" s="54">
        <f>IF(Input!O28&lt;=$P$7,INT((Input!O28*8.33%)+0.5),INT(($P$7*8.33%)+0.5))</f>
        <v>0</v>
      </c>
      <c r="P53" s="54">
        <f>IF(Input!P28&lt;=$P$7,INT((Input!P28*8.33%)+0.5),INT(($P$7*8.33%)+0.5))</f>
        <v>0</v>
      </c>
      <c r="Q53" s="54">
        <f>IF(Input!Q28&lt;=$P$7,INT((Input!Q28*8.33%)+0.5),INT(($P$7*8.33%)+0.5))</f>
        <v>0</v>
      </c>
      <c r="R53" s="54">
        <f>IF(Input!R28&lt;=$P$7,INT((Input!R28*8.33%)+0.5),INT(($P$7*8.33%)+0.5))</f>
        <v>0</v>
      </c>
      <c r="S53" s="55">
        <f t="shared" ref="S53:S56" si="10">SUM(G53:R53)</f>
        <v>0</v>
      </c>
      <c r="T53" s="147"/>
      <c r="U53" s="137"/>
      <c r="V53" s="138"/>
    </row>
    <row r="54" spans="1:22" ht="30" x14ac:dyDescent="0.25">
      <c r="A54" s="127">
        <v>36373</v>
      </c>
      <c r="B54" s="186">
        <f>Input!K$24</f>
        <v>0</v>
      </c>
      <c r="D54" s="129"/>
      <c r="E54" s="129"/>
      <c r="F54" s="51" t="s">
        <v>113</v>
      </c>
      <c r="G54" s="55">
        <f t="shared" ref="G54:R54" si="11">IF(G52-G53&lt;=0,0,G52-G53)</f>
        <v>0</v>
      </c>
      <c r="H54" s="55">
        <f t="shared" si="11"/>
        <v>0</v>
      </c>
      <c r="I54" s="55">
        <f t="shared" si="11"/>
        <v>0</v>
      </c>
      <c r="J54" s="75">
        <f t="shared" si="11"/>
        <v>0</v>
      </c>
      <c r="K54" s="55">
        <f t="shared" si="11"/>
        <v>0</v>
      </c>
      <c r="L54" s="55">
        <f t="shared" si="11"/>
        <v>0</v>
      </c>
      <c r="M54" s="55">
        <f t="shared" si="11"/>
        <v>0</v>
      </c>
      <c r="N54" s="55">
        <f t="shared" si="11"/>
        <v>0</v>
      </c>
      <c r="O54" s="55">
        <f t="shared" si="11"/>
        <v>0</v>
      </c>
      <c r="P54" s="55">
        <f t="shared" si="11"/>
        <v>0</v>
      </c>
      <c r="Q54" s="55">
        <f t="shared" si="11"/>
        <v>0</v>
      </c>
      <c r="R54" s="55">
        <f t="shared" si="11"/>
        <v>0</v>
      </c>
      <c r="S54" s="55">
        <f t="shared" si="10"/>
        <v>0</v>
      </c>
      <c r="T54" s="147"/>
      <c r="U54" s="137"/>
      <c r="V54" s="138"/>
    </row>
    <row r="55" spans="1:22" x14ac:dyDescent="0.25">
      <c r="A55" s="127">
        <v>36404</v>
      </c>
      <c r="B55" s="186">
        <f>Input!L$24</f>
        <v>0</v>
      </c>
      <c r="D55" s="129"/>
      <c r="E55" s="130" t="s">
        <v>114</v>
      </c>
      <c r="F55" s="51" t="s">
        <v>115</v>
      </c>
      <c r="G55" s="56">
        <f>IF(G51=0,0,IF($T$11&lt;=Input!G27,0,R48+R49+U49))</f>
        <v>0</v>
      </c>
      <c r="H55" s="56">
        <f>IF(H51=0,0,IF($T$11&lt;=Input!H27,0,G54+G55))</f>
        <v>0</v>
      </c>
      <c r="I55" s="56">
        <f>IF(I51=0,0,IF($T$11&lt;=Input!I27,0,H54+H55))</f>
        <v>0</v>
      </c>
      <c r="J55" s="74">
        <f>IF(J51=0,0,IF($T$11&lt;=Input!J27,0,I54+I55))</f>
        <v>0</v>
      </c>
      <c r="K55" s="56">
        <f>IF(K51=0,0,IF($T$11&lt;=Input!K27,0,J54+J55))</f>
        <v>0</v>
      </c>
      <c r="L55" s="56">
        <f>IF(L51=0,0,IF($T$11&lt;=Input!L27,0,K54+K55))</f>
        <v>0</v>
      </c>
      <c r="M55" s="56">
        <f>IF(M51=0,0,IF($T$11&lt;=Input!M27,0,L54+L55))</f>
        <v>0</v>
      </c>
      <c r="N55" s="56">
        <f>IF(N51=0,0,IF($T$11&lt;=Input!N27,0,M54+M55))</f>
        <v>0</v>
      </c>
      <c r="O55" s="56">
        <f>IF(O51=0,0,IF($T$11&lt;=Input!O27,0,N54+N55))</f>
        <v>0</v>
      </c>
      <c r="P55" s="56">
        <f>IF(P51=0,0,IF($T$11&lt;=Input!P27,0,O54+O55))</f>
        <v>0</v>
      </c>
      <c r="Q55" s="56">
        <f>IF(Q51=0,0,IF($T$11&lt;=Input!Q27,0,P54+P55))</f>
        <v>0</v>
      </c>
      <c r="R55" s="56">
        <f>IF(R51=0,0,IF($T$11&lt;=Input!R27,0,Q54+Q55))</f>
        <v>0</v>
      </c>
      <c r="S55" s="55"/>
      <c r="T55" s="106">
        <f>SUM(G54:R54)</f>
        <v>0</v>
      </c>
      <c r="U55" s="55">
        <f>SUM(G56:R56)</f>
        <v>0</v>
      </c>
      <c r="V55" s="108">
        <f>SUM(T55,U55)</f>
        <v>0</v>
      </c>
    </row>
    <row r="56" spans="1:22" x14ac:dyDescent="0.25">
      <c r="A56" s="127">
        <v>36434</v>
      </c>
      <c r="B56" s="186">
        <f>Input!M$24</f>
        <v>0</v>
      </c>
      <c r="D56" s="129"/>
      <c r="E56" s="58">
        <v>9.5000000000000001E-2</v>
      </c>
      <c r="F56" s="59" t="s">
        <v>116</v>
      </c>
      <c r="G56" s="64">
        <f t="shared" ref="G56:R56" si="12">G55/12*$E56</f>
        <v>0</v>
      </c>
      <c r="H56" s="76">
        <f t="shared" si="12"/>
        <v>0</v>
      </c>
      <c r="I56" s="76">
        <f t="shared" si="12"/>
        <v>0</v>
      </c>
      <c r="J56" s="75">
        <f t="shared" si="12"/>
        <v>0</v>
      </c>
      <c r="K56" s="55">
        <f t="shared" si="12"/>
        <v>0</v>
      </c>
      <c r="L56" s="55">
        <f t="shared" si="12"/>
        <v>0</v>
      </c>
      <c r="M56" s="55">
        <f t="shared" si="12"/>
        <v>0</v>
      </c>
      <c r="N56" s="55">
        <f t="shared" si="12"/>
        <v>0</v>
      </c>
      <c r="O56" s="55">
        <f t="shared" si="12"/>
        <v>0</v>
      </c>
      <c r="P56" s="55">
        <f t="shared" si="12"/>
        <v>0</v>
      </c>
      <c r="Q56" s="55">
        <f t="shared" si="12"/>
        <v>0</v>
      </c>
      <c r="R56" s="55">
        <f t="shared" si="12"/>
        <v>0</v>
      </c>
      <c r="S56" s="55">
        <f t="shared" si="10"/>
        <v>0</v>
      </c>
      <c r="T56" s="107">
        <f>SUM(T19,T25,T31,T37,T43,T49,T55)</f>
        <v>0</v>
      </c>
      <c r="U56" s="62">
        <f>SUM(U19,U25,U31,U37,U43,U49,U55)</f>
        <v>0</v>
      </c>
      <c r="V56" s="109">
        <f>SUM(V19,V25,V31,V37,V43,V49,V55)</f>
        <v>0</v>
      </c>
    </row>
    <row r="57" spans="1:22" x14ac:dyDescent="0.25">
      <c r="A57" s="127">
        <v>36465</v>
      </c>
      <c r="B57" s="186">
        <f>Input!N$24</f>
        <v>0</v>
      </c>
      <c r="D57" s="129">
        <v>8</v>
      </c>
      <c r="E57" s="130" t="s">
        <v>123</v>
      </c>
      <c r="F57" s="47" t="s">
        <v>109</v>
      </c>
      <c r="G57" s="63">
        <v>37347</v>
      </c>
      <c r="H57" s="63">
        <v>37377</v>
      </c>
      <c r="I57" s="63">
        <v>37408</v>
      </c>
      <c r="J57" s="63">
        <v>37438</v>
      </c>
      <c r="K57" s="63">
        <v>37469</v>
      </c>
      <c r="L57" s="63">
        <v>37500</v>
      </c>
      <c r="M57" s="63">
        <v>37530</v>
      </c>
      <c r="N57" s="63">
        <v>37561</v>
      </c>
      <c r="O57" s="63">
        <v>37591</v>
      </c>
      <c r="P57" s="63">
        <v>37622</v>
      </c>
      <c r="Q57" s="63">
        <v>37653</v>
      </c>
      <c r="R57" s="63">
        <v>37681</v>
      </c>
      <c r="S57" s="156">
        <f>SUM(Input!G30:R30)</f>
        <v>0</v>
      </c>
      <c r="T57" s="146"/>
      <c r="U57" s="131"/>
      <c r="V57" s="132"/>
    </row>
    <row r="58" spans="1:22" x14ac:dyDescent="0.25">
      <c r="A58" s="127">
        <v>36495</v>
      </c>
      <c r="B58" s="186">
        <f>Input!O$24</f>
        <v>0</v>
      </c>
      <c r="D58" s="129"/>
      <c r="E58" s="130"/>
      <c r="F58" s="51" t="s">
        <v>110</v>
      </c>
      <c r="G58" s="54">
        <f>IF(Input!G30=0,0,INT((Input!G30*8.33/100)+0.5))</f>
        <v>0</v>
      </c>
      <c r="H58" s="54">
        <f>IF(Input!H30=0,0,INT((Input!H30*8.33/100)+0.5))</f>
        <v>0</v>
      </c>
      <c r="I58" s="54">
        <f>IF(Input!I30=0,0,INT((Input!I30*8.33/100)+0.5))</f>
        <v>0</v>
      </c>
      <c r="J58" s="54">
        <f>IF(Input!J30=0,0,INT((Input!J30*8.33/100)+0.5))</f>
        <v>0</v>
      </c>
      <c r="K58" s="54">
        <f>IF(Input!K30=0,0,INT((Input!K30*8.33/100)+0.5))</f>
        <v>0</v>
      </c>
      <c r="L58" s="54">
        <f>IF(Input!L30=0,0,INT((Input!L30*8.33/100)+0.5))</f>
        <v>0</v>
      </c>
      <c r="M58" s="54">
        <f>IF(Input!M30=0,0,INT((Input!M30*8.33/100)+0.5))</f>
        <v>0</v>
      </c>
      <c r="N58" s="54">
        <f>IF(Input!N30=0,0,INT((Input!N30*8.33/100)+0.5))</f>
        <v>0</v>
      </c>
      <c r="O58" s="54">
        <f>IF(Input!O30=0,0,INT((Input!O30*8.33/100)+0.5))</f>
        <v>0</v>
      </c>
      <c r="P58" s="54">
        <f>IF(Input!P30=0,0,INT((Input!P30*8.33/100)+0.5))</f>
        <v>0</v>
      </c>
      <c r="Q58" s="54">
        <f>IF(Input!Q30=0,0,INT((Input!Q30*8.33/100)+0.5))</f>
        <v>0</v>
      </c>
      <c r="R58" s="54">
        <f>IF(Input!R30=0,0,INT((Input!R30*8.33/100)+0.5))</f>
        <v>0</v>
      </c>
      <c r="S58" s="55">
        <f>SUM(G58:R58)</f>
        <v>0</v>
      </c>
      <c r="T58" s="146"/>
      <c r="U58" s="131"/>
      <c r="V58" s="132"/>
    </row>
    <row r="59" spans="1:22" ht="30" x14ac:dyDescent="0.25">
      <c r="A59" s="127">
        <v>36526</v>
      </c>
      <c r="B59" s="186">
        <f>Input!P$24</f>
        <v>0</v>
      </c>
      <c r="D59" s="129"/>
      <c r="E59" s="130"/>
      <c r="F59" s="51" t="s">
        <v>112</v>
      </c>
      <c r="G59" s="54">
        <f>IF(Input!G30&lt;=$P$7,INT((Input!G30*8.33%)+0.5),INT(($P$7*8.33%)+0.5))</f>
        <v>0</v>
      </c>
      <c r="H59" s="54">
        <f>IF(Input!H30&lt;=$P$7,INT((Input!H30*8.33%)+0.5),INT(($P$7*8.33%)+0.5))</f>
        <v>0</v>
      </c>
      <c r="I59" s="54">
        <f>IF(Input!I30&lt;=$P$7,INT((Input!I30*8.33%)+0.5),INT(($P$7*8.33%)+0.5))</f>
        <v>0</v>
      </c>
      <c r="J59" s="54">
        <f>IF(Input!J30&lt;=$P$7,INT((Input!J30*8.33%)+0.5),INT(($P$7*8.33%)+0.5))</f>
        <v>0</v>
      </c>
      <c r="K59" s="54">
        <f>IF(Input!K30&lt;=$P$7,INT((Input!K30*8.33%)+0.5),INT(($P$7*8.33%)+0.5))</f>
        <v>0</v>
      </c>
      <c r="L59" s="54">
        <f>IF(Input!L30&lt;=$P$7,INT((Input!L30*8.33%)+0.5),INT(($P$7*8.33%)+0.5))</f>
        <v>0</v>
      </c>
      <c r="M59" s="54">
        <f>IF(Input!M30&lt;=$P$7,INT((Input!M30*8.33%)+0.5),INT(($P$7*8.33%)+0.5))</f>
        <v>0</v>
      </c>
      <c r="N59" s="54">
        <f>IF(Input!N30&lt;=$P$7,INT((Input!N30*8.33%)+0.5),INT(($P$7*8.33%)+0.5))</f>
        <v>0</v>
      </c>
      <c r="O59" s="54">
        <f>IF(Input!O30&lt;=$P$7,INT((Input!O30*8.33%)+0.5),INT(($P$7*8.33%)+0.5))</f>
        <v>0</v>
      </c>
      <c r="P59" s="54">
        <f>IF(Input!P30&lt;=$P$7,INT((Input!P30*8.33%)+0.5),INT(($P$7*8.33%)+0.5))</f>
        <v>0</v>
      </c>
      <c r="Q59" s="54">
        <f>IF(Input!Q30&lt;=$P$7,INT((Input!Q30*8.33%)+0.5),INT(($P$7*8.33%)+0.5))</f>
        <v>0</v>
      </c>
      <c r="R59" s="54">
        <f>IF(Input!R30&lt;=$P$7,INT((Input!R30*8.33%)+0.5),INT(($P$7*8.33%)+0.5))</f>
        <v>0</v>
      </c>
      <c r="S59" s="55">
        <f t="shared" ref="S59:S62" si="13">SUM(G59:R59)</f>
        <v>0</v>
      </c>
      <c r="T59" s="146"/>
      <c r="U59" s="131"/>
      <c r="V59" s="132"/>
    </row>
    <row r="60" spans="1:22" ht="30" x14ac:dyDescent="0.25">
      <c r="A60" s="127">
        <v>36557</v>
      </c>
      <c r="B60" s="186">
        <f>Input!Q$24</f>
        <v>0</v>
      </c>
      <c r="D60" s="129"/>
      <c r="E60" s="130"/>
      <c r="F60" s="51" t="s">
        <v>113</v>
      </c>
      <c r="G60" s="55">
        <f t="shared" ref="G60:R60" si="14">IF(G58-G59&lt;=0,0,G58-G59)</f>
        <v>0</v>
      </c>
      <c r="H60" s="55">
        <f t="shared" si="14"/>
        <v>0</v>
      </c>
      <c r="I60" s="55">
        <f t="shared" si="14"/>
        <v>0</v>
      </c>
      <c r="J60" s="55">
        <f t="shared" si="14"/>
        <v>0</v>
      </c>
      <c r="K60" s="55">
        <f t="shared" si="14"/>
        <v>0</v>
      </c>
      <c r="L60" s="55">
        <f t="shared" si="14"/>
        <v>0</v>
      </c>
      <c r="M60" s="55">
        <f t="shared" si="14"/>
        <v>0</v>
      </c>
      <c r="N60" s="55">
        <f t="shared" si="14"/>
        <v>0</v>
      </c>
      <c r="O60" s="55">
        <f t="shared" si="14"/>
        <v>0</v>
      </c>
      <c r="P60" s="55">
        <f t="shared" si="14"/>
        <v>0</v>
      </c>
      <c r="Q60" s="55">
        <f t="shared" si="14"/>
        <v>0</v>
      </c>
      <c r="R60" s="55">
        <f t="shared" si="14"/>
        <v>0</v>
      </c>
      <c r="S60" s="55">
        <f t="shared" si="13"/>
        <v>0</v>
      </c>
      <c r="T60" s="146"/>
      <c r="U60" s="131"/>
      <c r="V60" s="132"/>
    </row>
    <row r="61" spans="1:22" x14ac:dyDescent="0.25">
      <c r="A61" s="127">
        <v>36586</v>
      </c>
      <c r="B61" s="186">
        <f>Input!R$24</f>
        <v>0</v>
      </c>
      <c r="D61" s="129"/>
      <c r="E61" s="130" t="s">
        <v>114</v>
      </c>
      <c r="F61" s="51" t="s">
        <v>115</v>
      </c>
      <c r="G61" s="56">
        <f>IF(G57=0,0,IF($T$11&lt;=Input!G29,0,R54+R55+U55))</f>
        <v>0</v>
      </c>
      <c r="H61" s="56">
        <f>IF(H57=0,0,IF($T$11&lt;=Input!H29,0,G60+G61))</f>
        <v>0</v>
      </c>
      <c r="I61" s="56">
        <f>IF(I57=0,0,IF($T$11&lt;=Input!I29,0,H60+H61))</f>
        <v>0</v>
      </c>
      <c r="J61" s="56">
        <f>IF(J57=0,0,IF($T$11&lt;=Input!J29,0,I60+I61))</f>
        <v>0</v>
      </c>
      <c r="K61" s="56">
        <f>IF(K57=0,0,IF($T$11&lt;=Input!K29,0,J60+J61))</f>
        <v>0</v>
      </c>
      <c r="L61" s="56">
        <f>IF(L57=0,0,IF($T$11&lt;=Input!L29,0,K60+K61))</f>
        <v>0</v>
      </c>
      <c r="M61" s="56">
        <f>IF(M57=0,0,IF($T$11&lt;=Input!M29,0,L60+L61))</f>
        <v>0</v>
      </c>
      <c r="N61" s="56">
        <f>IF(N57=0,0,IF($T$11&lt;=Input!N29,0,M60+M61))</f>
        <v>0</v>
      </c>
      <c r="O61" s="56">
        <f>IF(O57=0,0,IF($T$11&lt;=Input!O29,0,N60+N61))</f>
        <v>0</v>
      </c>
      <c r="P61" s="56">
        <f>IF(P57=0,0,IF($T$11&lt;=Input!P29,0,O60+O61))</f>
        <v>0</v>
      </c>
      <c r="Q61" s="56">
        <f>IF(Q57=0,0,IF($T$11&lt;=Input!Q29,0,P60+P61))</f>
        <v>0</v>
      </c>
      <c r="R61" s="56">
        <f>IF(R57=0,0,IF($T$11&lt;=Input!R29,0,Q60+Q61))</f>
        <v>0</v>
      </c>
      <c r="S61" s="55"/>
      <c r="T61" s="106">
        <f>SUM(G60:R60)</f>
        <v>0</v>
      </c>
      <c r="U61" s="55">
        <f>SUM(G62:R62)</f>
        <v>0</v>
      </c>
      <c r="V61" s="108">
        <f>SUM(T61,U61)</f>
        <v>0</v>
      </c>
    </row>
    <row r="62" spans="1:22" x14ac:dyDescent="0.25">
      <c r="A62" s="127">
        <v>36617</v>
      </c>
      <c r="B62" s="186">
        <f>Input!G$26</f>
        <v>0</v>
      </c>
      <c r="D62" s="129"/>
      <c r="E62" s="58">
        <v>9.5000000000000001E-2</v>
      </c>
      <c r="F62" s="59" t="s">
        <v>116</v>
      </c>
      <c r="G62" s="64">
        <f t="shared" ref="G62:R62" si="15">G61/12*$E62</f>
        <v>0</v>
      </c>
      <c r="H62" s="55">
        <f t="shared" si="15"/>
        <v>0</v>
      </c>
      <c r="I62" s="55">
        <f t="shared" si="15"/>
        <v>0</v>
      </c>
      <c r="J62" s="55">
        <f t="shared" si="15"/>
        <v>0</v>
      </c>
      <c r="K62" s="55">
        <f t="shared" si="15"/>
        <v>0</v>
      </c>
      <c r="L62" s="55">
        <f t="shared" si="15"/>
        <v>0</v>
      </c>
      <c r="M62" s="55">
        <f t="shared" si="15"/>
        <v>0</v>
      </c>
      <c r="N62" s="55">
        <f t="shared" si="15"/>
        <v>0</v>
      </c>
      <c r="O62" s="55">
        <f t="shared" si="15"/>
        <v>0</v>
      </c>
      <c r="P62" s="55">
        <f t="shared" si="15"/>
        <v>0</v>
      </c>
      <c r="Q62" s="55">
        <f t="shared" si="15"/>
        <v>0</v>
      </c>
      <c r="R62" s="55">
        <f t="shared" si="15"/>
        <v>0</v>
      </c>
      <c r="S62" s="55">
        <f t="shared" si="13"/>
        <v>0</v>
      </c>
      <c r="T62" s="107">
        <f>SUM(T19,T25,T31,T37,T43,T49,T55,T61)</f>
        <v>0</v>
      </c>
      <c r="U62" s="62">
        <f>SUM(U19,U25,U31,U37,U43,U49,U55,U61)</f>
        <v>0</v>
      </c>
      <c r="V62" s="109">
        <f>SUM(V19,V25,V31,V37,V43,V49,V55,V61)</f>
        <v>0</v>
      </c>
    </row>
    <row r="63" spans="1:22" x14ac:dyDescent="0.25">
      <c r="A63" s="127">
        <v>36647</v>
      </c>
      <c r="B63" s="186">
        <f>Input!H$26</f>
        <v>0</v>
      </c>
      <c r="D63" s="129">
        <v>9</v>
      </c>
      <c r="E63" s="130" t="s">
        <v>124</v>
      </c>
      <c r="F63" s="47" t="s">
        <v>109</v>
      </c>
      <c r="G63" s="63">
        <v>37712</v>
      </c>
      <c r="H63" s="63">
        <v>37742</v>
      </c>
      <c r="I63" s="63">
        <v>37773</v>
      </c>
      <c r="J63" s="63">
        <v>37803</v>
      </c>
      <c r="K63" s="63">
        <v>37834</v>
      </c>
      <c r="L63" s="63">
        <v>37865</v>
      </c>
      <c r="M63" s="63">
        <v>37895</v>
      </c>
      <c r="N63" s="63">
        <v>37926</v>
      </c>
      <c r="O63" s="63">
        <v>37956</v>
      </c>
      <c r="P63" s="63">
        <v>37987</v>
      </c>
      <c r="Q63" s="63">
        <v>38018</v>
      </c>
      <c r="R63" s="63">
        <v>38047</v>
      </c>
      <c r="S63" s="156">
        <f>SUM(Input!G32:R32)</f>
        <v>0</v>
      </c>
      <c r="T63" s="146"/>
      <c r="U63" s="131"/>
      <c r="V63" s="132"/>
    </row>
    <row r="64" spans="1:22" x14ac:dyDescent="0.25">
      <c r="A64" s="127">
        <v>36678</v>
      </c>
      <c r="B64" s="186">
        <f>Input!I$26</f>
        <v>0</v>
      </c>
      <c r="D64" s="129"/>
      <c r="E64" s="130"/>
      <c r="F64" s="51" t="s">
        <v>110</v>
      </c>
      <c r="G64" s="54">
        <f>IF(Input!G32=0,0,INT((Input!G32*8.33/100)+0.5))</f>
        <v>0</v>
      </c>
      <c r="H64" s="54">
        <f>IF(Input!H32=0,0,INT((Input!H32*8.33/100)+0.5))</f>
        <v>0</v>
      </c>
      <c r="I64" s="54">
        <f>IF(Input!I32=0,0,INT((Input!I32*8.33/100)+0.5))</f>
        <v>0</v>
      </c>
      <c r="J64" s="54">
        <f>IF(Input!J32=0,0,INT((Input!J32*8.33/100)+0.5))</f>
        <v>0</v>
      </c>
      <c r="K64" s="54">
        <f>IF(Input!K32=0,0,INT((Input!K32*8.33/100)+0.5))</f>
        <v>0</v>
      </c>
      <c r="L64" s="54">
        <f>IF(Input!L32=0,0,INT((Input!L32*8.33/100)+0.5))</f>
        <v>0</v>
      </c>
      <c r="M64" s="54">
        <f>IF(Input!M32=0,0,INT((Input!M32*8.33/100)+0.5))</f>
        <v>0</v>
      </c>
      <c r="N64" s="54">
        <f>IF(Input!N32=0,0,INT((Input!N32*8.33/100)+0.5))</f>
        <v>0</v>
      </c>
      <c r="O64" s="54">
        <f>IF(Input!O32=0,0,INT((Input!O32*8.33/100)+0.5))</f>
        <v>0</v>
      </c>
      <c r="P64" s="54">
        <f>IF(Input!P32=0,0,INT((Input!P32*8.33/100)+0.5))</f>
        <v>0</v>
      </c>
      <c r="Q64" s="54">
        <f>IF(Input!Q32=0,0,INT((Input!Q32*8.33/100)+0.5))</f>
        <v>0</v>
      </c>
      <c r="R64" s="54">
        <f>IF(Input!R32=0,0,INT((Input!R32*8.33/100)+0.5))</f>
        <v>0</v>
      </c>
      <c r="S64" s="55">
        <f>SUM(G64:R64)</f>
        <v>0</v>
      </c>
      <c r="T64" s="146"/>
      <c r="U64" s="131"/>
      <c r="V64" s="132"/>
    </row>
    <row r="65" spans="1:22" ht="30" x14ac:dyDescent="0.25">
      <c r="A65" s="127">
        <v>36708</v>
      </c>
      <c r="B65" s="186">
        <f>Input!J$26</f>
        <v>0</v>
      </c>
      <c r="D65" s="129"/>
      <c r="E65" s="130"/>
      <c r="F65" s="51" t="s">
        <v>112</v>
      </c>
      <c r="G65" s="54">
        <f>IF(Input!G32&lt;=$P$7,INT((Input!G32*8.33%)+0.5),INT(($P$7*8.33%)+0.5))</f>
        <v>0</v>
      </c>
      <c r="H65" s="54">
        <f>IF(Input!H32&lt;=$P$7,INT((Input!H32*8.33%)+0.5),INT(($P$7*8.33%)+0.5))</f>
        <v>0</v>
      </c>
      <c r="I65" s="54">
        <f>IF(Input!I32&lt;=$P$7,INT((Input!I32*8.33%)+0.5),INT(($P$7*8.33%)+0.5))</f>
        <v>0</v>
      </c>
      <c r="J65" s="54">
        <f>IF(Input!J32&lt;=$P$7,INT((Input!J32*8.33%)+0.5),INT(($P$7*8.33%)+0.5))</f>
        <v>0</v>
      </c>
      <c r="K65" s="54">
        <f>IF(Input!K32&lt;=$P$7,INT((Input!K32*8.33%)+0.5),INT(($P$7*8.33%)+0.5))</f>
        <v>0</v>
      </c>
      <c r="L65" s="54">
        <f>IF(Input!L32&lt;=$P$7,INT((Input!L32*8.33%)+0.5),INT(($P$7*8.33%)+0.5))</f>
        <v>0</v>
      </c>
      <c r="M65" s="54">
        <f>IF(Input!M32&lt;=$P$7,INT((Input!M32*8.33%)+0.5),INT(($P$7*8.33%)+0.5))</f>
        <v>0</v>
      </c>
      <c r="N65" s="54">
        <f>IF(Input!N32&lt;=$P$7,INT((Input!N32*8.33%)+0.5),INT(($P$7*8.33%)+0.5))</f>
        <v>0</v>
      </c>
      <c r="O65" s="54">
        <f>IF(Input!O32&lt;=$P$7,INT((Input!O32*8.33%)+0.5),INT(($P$7*8.33%)+0.5))</f>
        <v>0</v>
      </c>
      <c r="P65" s="54">
        <f>IF(Input!P32&lt;=$P$7,INT((Input!P32*8.33%)+0.5),INT(($P$7*8.33%)+0.5))</f>
        <v>0</v>
      </c>
      <c r="Q65" s="54">
        <f>IF(Input!Q32&lt;=$P$7,INT((Input!Q32*8.33%)+0.5),INT(($P$7*8.33%)+0.5))</f>
        <v>0</v>
      </c>
      <c r="R65" s="54">
        <f>IF(Input!R32&lt;=$P$7,INT((Input!R32*8.33%)+0.5),INT(($P$7*8.33%)+0.5))</f>
        <v>0</v>
      </c>
      <c r="S65" s="55">
        <f t="shared" ref="S65:S68" si="16">SUM(G65:R65)</f>
        <v>0</v>
      </c>
      <c r="T65" s="146"/>
      <c r="U65" s="131"/>
      <c r="V65" s="132"/>
    </row>
    <row r="66" spans="1:22" ht="30" x14ac:dyDescent="0.25">
      <c r="A66" s="127">
        <v>36739</v>
      </c>
      <c r="B66" s="186">
        <f>Input!K$26</f>
        <v>0</v>
      </c>
      <c r="D66" s="129"/>
      <c r="E66" s="130"/>
      <c r="F66" s="51" t="s">
        <v>113</v>
      </c>
      <c r="G66" s="55">
        <f t="shared" ref="G66:R66" si="17">IF(G64-G65&lt;=0,0,G64-G65)</f>
        <v>0</v>
      </c>
      <c r="H66" s="55">
        <f t="shared" si="17"/>
        <v>0</v>
      </c>
      <c r="I66" s="55">
        <f t="shared" si="17"/>
        <v>0</v>
      </c>
      <c r="J66" s="55">
        <f t="shared" si="17"/>
        <v>0</v>
      </c>
      <c r="K66" s="55">
        <f t="shared" si="17"/>
        <v>0</v>
      </c>
      <c r="L66" s="55">
        <f t="shared" si="17"/>
        <v>0</v>
      </c>
      <c r="M66" s="55">
        <f t="shared" si="17"/>
        <v>0</v>
      </c>
      <c r="N66" s="55">
        <f t="shared" si="17"/>
        <v>0</v>
      </c>
      <c r="O66" s="55">
        <f t="shared" si="17"/>
        <v>0</v>
      </c>
      <c r="P66" s="55">
        <f t="shared" si="17"/>
        <v>0</v>
      </c>
      <c r="Q66" s="55">
        <f t="shared" si="17"/>
        <v>0</v>
      </c>
      <c r="R66" s="55">
        <f t="shared" si="17"/>
        <v>0</v>
      </c>
      <c r="S66" s="55">
        <f t="shared" si="16"/>
        <v>0</v>
      </c>
      <c r="T66" s="146"/>
      <c r="U66" s="131"/>
      <c r="V66" s="132"/>
    </row>
    <row r="67" spans="1:22" x14ac:dyDescent="0.25">
      <c r="A67" s="127">
        <v>36770</v>
      </c>
      <c r="B67" s="186">
        <f>Input!L$26</f>
        <v>0</v>
      </c>
      <c r="D67" s="129"/>
      <c r="E67" s="130" t="s">
        <v>114</v>
      </c>
      <c r="F67" s="51" t="s">
        <v>115</v>
      </c>
      <c r="G67" s="56">
        <f>IF(G63=0,0,IF($T$11&lt;=Input!G31,0,R60+R61+U61))</f>
        <v>0</v>
      </c>
      <c r="H67" s="56">
        <f>IF(H63=0,0,IF($T$11&lt;=Input!H31,0,G66+G67))</f>
        <v>0</v>
      </c>
      <c r="I67" s="56">
        <f>IF(I63=0,0,IF($T$11&lt;=Input!I31,0,H66+H67))</f>
        <v>0</v>
      </c>
      <c r="J67" s="56">
        <f>IF(J63=0,0,IF($T$11&lt;=Input!J31,0,I66+I67))</f>
        <v>0</v>
      </c>
      <c r="K67" s="56">
        <f>IF(K63=0,0,IF($T$11&lt;=Input!K31,0,J66+J67))</f>
        <v>0</v>
      </c>
      <c r="L67" s="56">
        <f>IF(L63=0,0,IF($T$11&lt;=Input!L31,0,K66+K67))</f>
        <v>0</v>
      </c>
      <c r="M67" s="56">
        <f>IF(M63=0,0,IF($T$11&lt;=Input!M31,0,L66+L67))</f>
        <v>0</v>
      </c>
      <c r="N67" s="56">
        <f>IF(N63=0,0,IF($T$11&lt;=Input!N31,0,M66+M67))</f>
        <v>0</v>
      </c>
      <c r="O67" s="56">
        <f>IF(O63=0,0,IF($T$11&lt;=Input!O31,0,N66+N67))</f>
        <v>0</v>
      </c>
      <c r="P67" s="56">
        <f>IF(P63=0,0,IF($T$11&lt;=Input!P31,0,O66+O67))</f>
        <v>0</v>
      </c>
      <c r="Q67" s="56">
        <f>IF(Q63=0,0,IF($T$11&lt;=Input!Q31,0,P66+P67))</f>
        <v>0</v>
      </c>
      <c r="R67" s="56">
        <f>IF(R63=0,0,IF($T$11&lt;=Input!R31,0,Q66+Q67))</f>
        <v>0</v>
      </c>
      <c r="S67" s="55"/>
      <c r="T67" s="106">
        <f>SUM(G66:R66)</f>
        <v>0</v>
      </c>
      <c r="U67" s="55">
        <f>SUM(G68:R68)</f>
        <v>0</v>
      </c>
      <c r="V67" s="108">
        <f>SUM(T67,U67)</f>
        <v>0</v>
      </c>
    </row>
    <row r="68" spans="1:22" x14ac:dyDescent="0.25">
      <c r="A68" s="127">
        <v>36800</v>
      </c>
      <c r="B68" s="186">
        <f>Input!M$26</f>
        <v>0</v>
      </c>
      <c r="D68" s="129"/>
      <c r="E68" s="58">
        <v>9.5000000000000001E-2</v>
      </c>
      <c r="F68" s="59" t="s">
        <v>116</v>
      </c>
      <c r="G68" s="64">
        <f t="shared" ref="G68:R68" si="18">G67/12*$E68</f>
        <v>0</v>
      </c>
      <c r="H68" s="55">
        <f t="shared" si="18"/>
        <v>0</v>
      </c>
      <c r="I68" s="55">
        <f t="shared" si="18"/>
        <v>0</v>
      </c>
      <c r="J68" s="55">
        <f t="shared" si="18"/>
        <v>0</v>
      </c>
      <c r="K68" s="55">
        <f t="shared" si="18"/>
        <v>0</v>
      </c>
      <c r="L68" s="55">
        <f t="shared" si="18"/>
        <v>0</v>
      </c>
      <c r="M68" s="55">
        <f t="shared" si="18"/>
        <v>0</v>
      </c>
      <c r="N68" s="55">
        <f t="shared" si="18"/>
        <v>0</v>
      </c>
      <c r="O68" s="55">
        <f t="shared" si="18"/>
        <v>0</v>
      </c>
      <c r="P68" s="55">
        <f t="shared" si="18"/>
        <v>0</v>
      </c>
      <c r="Q68" s="55">
        <f t="shared" si="18"/>
        <v>0</v>
      </c>
      <c r="R68" s="55">
        <f t="shared" si="18"/>
        <v>0</v>
      </c>
      <c r="S68" s="55">
        <f t="shared" si="16"/>
        <v>0</v>
      </c>
      <c r="T68" s="107">
        <f>SUM(T19,T25,T31,T37,T43,T49,T55,T61,T67)</f>
        <v>0</v>
      </c>
      <c r="U68" s="62">
        <f>SUM(U19,U25,U31,U37,U43,U49,U55,U61,U67)</f>
        <v>0</v>
      </c>
      <c r="V68" s="109">
        <f>SUM(V19,V25,V31,V37,V43,V49,V55,V61,V67)</f>
        <v>0</v>
      </c>
    </row>
    <row r="69" spans="1:22" x14ac:dyDescent="0.25">
      <c r="A69" s="127">
        <v>36831</v>
      </c>
      <c r="B69" s="186">
        <f>Input!N$26</f>
        <v>0</v>
      </c>
      <c r="D69" s="129">
        <v>10</v>
      </c>
      <c r="E69" s="130" t="s">
        <v>125</v>
      </c>
      <c r="F69" s="47" t="s">
        <v>109</v>
      </c>
      <c r="G69" s="63">
        <v>38078</v>
      </c>
      <c r="H69" s="63">
        <v>38108</v>
      </c>
      <c r="I69" s="63">
        <v>38139</v>
      </c>
      <c r="J69" s="63">
        <v>38169</v>
      </c>
      <c r="K69" s="63">
        <v>38200</v>
      </c>
      <c r="L69" s="63">
        <v>38231</v>
      </c>
      <c r="M69" s="63">
        <v>38261</v>
      </c>
      <c r="N69" s="63">
        <v>38292</v>
      </c>
      <c r="O69" s="63">
        <v>38322</v>
      </c>
      <c r="P69" s="63">
        <v>38353</v>
      </c>
      <c r="Q69" s="63">
        <v>38384</v>
      </c>
      <c r="R69" s="63">
        <v>38412</v>
      </c>
      <c r="S69" s="156">
        <f>SUM(Input!G34:R34)</f>
        <v>0</v>
      </c>
      <c r="T69" s="146"/>
      <c r="U69" s="131"/>
      <c r="V69" s="132"/>
    </row>
    <row r="70" spans="1:22" x14ac:dyDescent="0.25">
      <c r="A70" s="127">
        <v>36861</v>
      </c>
      <c r="B70" s="186">
        <f>Input!O$26</f>
        <v>0</v>
      </c>
      <c r="D70" s="129"/>
      <c r="E70" s="130"/>
      <c r="F70" s="51" t="s">
        <v>110</v>
      </c>
      <c r="G70" s="54">
        <f>IF(Input!G34=0,0,INT((Input!G34*8.33/100)+0.5))</f>
        <v>0</v>
      </c>
      <c r="H70" s="54">
        <f>IF(Input!H34=0,0,INT((Input!H34*8.33/100)+0.5))</f>
        <v>0</v>
      </c>
      <c r="I70" s="54">
        <f>IF(Input!I34=0,0,INT((Input!I34*8.33/100)+0.5))</f>
        <v>0</v>
      </c>
      <c r="J70" s="54">
        <f>IF(Input!J34=0,0,INT((Input!J34*8.33/100)+0.5))</f>
        <v>0</v>
      </c>
      <c r="K70" s="54">
        <f>IF(Input!K34=0,0,INT((Input!K34*8.33/100)+0.5))</f>
        <v>0</v>
      </c>
      <c r="L70" s="54">
        <f>IF(Input!L34=0,0,INT((Input!L34*8.33/100)+0.5))</f>
        <v>0</v>
      </c>
      <c r="M70" s="54">
        <f>IF(Input!M34=0,0,INT((Input!M34*8.33/100)+0.5))</f>
        <v>0</v>
      </c>
      <c r="N70" s="54">
        <f>IF(Input!N34=0,0,INT((Input!N34*8.33/100)+0.5))</f>
        <v>0</v>
      </c>
      <c r="O70" s="54">
        <f>IF(Input!O34=0,0,INT((Input!O34*8.33/100)+0.5))</f>
        <v>0</v>
      </c>
      <c r="P70" s="54">
        <f>IF(Input!P34=0,0,INT((Input!P34*8.33/100)+0.5))</f>
        <v>0</v>
      </c>
      <c r="Q70" s="54">
        <f>IF(Input!Q34=0,0,INT((Input!Q34*8.33/100)+0.5))</f>
        <v>0</v>
      </c>
      <c r="R70" s="54">
        <f>IF(Input!R34=0,0,INT((Input!R34*8.33/100)+0.5))</f>
        <v>0</v>
      </c>
      <c r="S70" s="55">
        <f>SUM(G70:R70)</f>
        <v>0</v>
      </c>
      <c r="T70" s="146"/>
      <c r="U70" s="131"/>
      <c r="V70" s="132"/>
    </row>
    <row r="71" spans="1:22" ht="30" x14ac:dyDescent="0.25">
      <c r="A71" s="127">
        <v>36892</v>
      </c>
      <c r="B71" s="186">
        <f>Input!P$26</f>
        <v>0</v>
      </c>
      <c r="D71" s="129"/>
      <c r="E71" s="130"/>
      <c r="F71" s="51" t="s">
        <v>112</v>
      </c>
      <c r="G71" s="54">
        <f>IF(Input!G34&lt;=$P$7,INT((Input!G34*8.33%)+0.5),INT(($P$7*8.33%)+0.5))</f>
        <v>0</v>
      </c>
      <c r="H71" s="54">
        <f>IF(Input!H34&lt;=$P$7,INT((Input!H34*8.33%)+0.5),INT(($P$7*8.33%)+0.5))</f>
        <v>0</v>
      </c>
      <c r="I71" s="54">
        <f>IF(Input!I34&lt;=$P$7,INT((Input!I34*8.33%)+0.5),INT(($P$7*8.33%)+0.5))</f>
        <v>0</v>
      </c>
      <c r="J71" s="54">
        <f>IF(Input!J34&lt;=$P$7,INT((Input!J34*8.33%)+0.5),INT(($P$7*8.33%)+0.5))</f>
        <v>0</v>
      </c>
      <c r="K71" s="54">
        <f>IF(Input!K34&lt;=$P$7,INT((Input!K34*8.33%)+0.5),INT(($P$7*8.33%)+0.5))</f>
        <v>0</v>
      </c>
      <c r="L71" s="54">
        <f>IF(Input!L34&lt;=$P$7,INT((Input!L34*8.33%)+0.5),INT(($P$7*8.33%)+0.5))</f>
        <v>0</v>
      </c>
      <c r="M71" s="54">
        <f>IF(Input!M34&lt;=$P$7,INT((Input!M34*8.33%)+0.5),INT(($P$7*8.33%)+0.5))</f>
        <v>0</v>
      </c>
      <c r="N71" s="54">
        <f>IF(Input!N34&lt;=$P$7,INT((Input!N34*8.33%)+0.5),INT(($P$7*8.33%)+0.5))</f>
        <v>0</v>
      </c>
      <c r="O71" s="54">
        <f>IF(Input!O34&lt;=$P$7,INT((Input!O34*8.33%)+0.5),INT(($P$7*8.33%)+0.5))</f>
        <v>0</v>
      </c>
      <c r="P71" s="54">
        <f>IF(Input!P34&lt;=$P$7,INT((Input!P34*8.33%)+0.5),INT(($P$7*8.33%)+0.5))</f>
        <v>0</v>
      </c>
      <c r="Q71" s="54">
        <f>IF(Input!Q34&lt;=$P$7,INT((Input!Q34*8.33%)+0.5),INT(($P$7*8.33%)+0.5))</f>
        <v>0</v>
      </c>
      <c r="R71" s="54">
        <f>IF(Input!R34&lt;=$P$7,INT((Input!R34*8.33%)+0.5),INT(($P$7*8.33%)+0.5))</f>
        <v>0</v>
      </c>
      <c r="S71" s="55">
        <f t="shared" ref="S71:S74" si="19">SUM(G71:R71)</f>
        <v>0</v>
      </c>
      <c r="T71" s="146"/>
      <c r="U71" s="131"/>
      <c r="V71" s="132"/>
    </row>
    <row r="72" spans="1:22" ht="30" x14ac:dyDescent="0.25">
      <c r="A72" s="127">
        <v>36923</v>
      </c>
      <c r="B72" s="186">
        <f>Input!Q$26</f>
        <v>0</v>
      </c>
      <c r="D72" s="129"/>
      <c r="E72" s="130"/>
      <c r="F72" s="51" t="s">
        <v>113</v>
      </c>
      <c r="G72" s="55">
        <f t="shared" ref="G72:R72" si="20">IF(G70-G71&lt;=0,0,G70-G71)</f>
        <v>0</v>
      </c>
      <c r="H72" s="55">
        <f t="shared" si="20"/>
        <v>0</v>
      </c>
      <c r="I72" s="55">
        <f t="shared" si="20"/>
        <v>0</v>
      </c>
      <c r="J72" s="55">
        <f t="shared" si="20"/>
        <v>0</v>
      </c>
      <c r="K72" s="55">
        <f t="shared" si="20"/>
        <v>0</v>
      </c>
      <c r="L72" s="55">
        <f t="shared" si="20"/>
        <v>0</v>
      </c>
      <c r="M72" s="55">
        <f t="shared" si="20"/>
        <v>0</v>
      </c>
      <c r="N72" s="55">
        <f t="shared" si="20"/>
        <v>0</v>
      </c>
      <c r="O72" s="55">
        <f t="shared" si="20"/>
        <v>0</v>
      </c>
      <c r="P72" s="55">
        <f t="shared" si="20"/>
        <v>0</v>
      </c>
      <c r="Q72" s="55">
        <f t="shared" si="20"/>
        <v>0</v>
      </c>
      <c r="R72" s="55">
        <f t="shared" si="20"/>
        <v>0</v>
      </c>
      <c r="S72" s="55">
        <f t="shared" si="19"/>
        <v>0</v>
      </c>
      <c r="T72" s="146"/>
      <c r="U72" s="131"/>
      <c r="V72" s="132"/>
    </row>
    <row r="73" spans="1:22" x14ac:dyDescent="0.25">
      <c r="A73" s="127">
        <v>36951</v>
      </c>
      <c r="B73" s="186">
        <f>Input!R$26</f>
        <v>0</v>
      </c>
      <c r="D73" s="129"/>
      <c r="E73" s="130" t="s">
        <v>114</v>
      </c>
      <c r="F73" s="51" t="s">
        <v>115</v>
      </c>
      <c r="G73" s="56">
        <f>IF(G69=0,0,IF($T$11&lt;=Input!G33,0,R66+R67+U67))</f>
        <v>0</v>
      </c>
      <c r="H73" s="56">
        <f>IF(H69=0,0,IF($T$11&lt;=Input!H33,0,G72+G73))</f>
        <v>0</v>
      </c>
      <c r="I73" s="56">
        <f>IF(I69=0,0,IF($T$11&lt;=Input!I33,0,H72+H73))</f>
        <v>0</v>
      </c>
      <c r="J73" s="56">
        <f>IF(J69=0,0,IF($T$11&lt;=Input!J33,0,I72+I73))</f>
        <v>0</v>
      </c>
      <c r="K73" s="56">
        <f>IF(K69=0,0,IF($T$11&lt;=Input!K33,0,J72+J73))</f>
        <v>0</v>
      </c>
      <c r="L73" s="56">
        <f>IF(L69=0,0,IF($T$11&lt;=Input!L33,0,K72+K73))</f>
        <v>0</v>
      </c>
      <c r="M73" s="56">
        <f>IF(M69=0,0,IF($T$11&lt;=Input!M33,0,L72+L73))</f>
        <v>0</v>
      </c>
      <c r="N73" s="56">
        <f>IF(N69=0,0,IF($T$11&lt;=Input!N33,0,M72+M73))</f>
        <v>0</v>
      </c>
      <c r="O73" s="56">
        <f>IF(O69=0,0,IF($T$11&lt;=Input!O33,0,N72+N73))</f>
        <v>0</v>
      </c>
      <c r="P73" s="56">
        <f>IF(P69=0,0,IF($T$11&lt;=Input!P33,0,O72+O73))</f>
        <v>0</v>
      </c>
      <c r="Q73" s="56">
        <f>IF(Q69=0,0,IF($T$11&lt;=Input!Q33,0,P72+P73))</f>
        <v>0</v>
      </c>
      <c r="R73" s="56">
        <f>IF(R69=0,0,IF($T$11&lt;=Input!R33,0,Q72+Q73))</f>
        <v>0</v>
      </c>
      <c r="S73" s="55"/>
      <c r="T73" s="106">
        <f>SUM(G72:R72)</f>
        <v>0</v>
      </c>
      <c r="U73" s="55">
        <f>SUM(G74:R74)</f>
        <v>0</v>
      </c>
      <c r="V73" s="108">
        <f>SUM(T73,U73)</f>
        <v>0</v>
      </c>
    </row>
    <row r="74" spans="1:22" x14ac:dyDescent="0.25">
      <c r="A74" s="127">
        <v>36982</v>
      </c>
      <c r="B74" s="186">
        <f>Input!G$28</f>
        <v>0</v>
      </c>
      <c r="D74" s="129"/>
      <c r="E74" s="58">
        <v>9.5000000000000001E-2</v>
      </c>
      <c r="F74" s="59" t="s">
        <v>116</v>
      </c>
      <c r="G74" s="64">
        <f t="shared" ref="G74:R74" si="21">G73/12*$E74</f>
        <v>0</v>
      </c>
      <c r="H74" s="55">
        <f t="shared" si="21"/>
        <v>0</v>
      </c>
      <c r="I74" s="55">
        <f t="shared" si="21"/>
        <v>0</v>
      </c>
      <c r="J74" s="55">
        <f t="shared" si="21"/>
        <v>0</v>
      </c>
      <c r="K74" s="55">
        <f t="shared" si="21"/>
        <v>0</v>
      </c>
      <c r="L74" s="55">
        <f t="shared" si="21"/>
        <v>0</v>
      </c>
      <c r="M74" s="55">
        <f t="shared" si="21"/>
        <v>0</v>
      </c>
      <c r="N74" s="55">
        <f t="shared" si="21"/>
        <v>0</v>
      </c>
      <c r="O74" s="55">
        <f t="shared" si="21"/>
        <v>0</v>
      </c>
      <c r="P74" s="55">
        <f t="shared" si="21"/>
        <v>0</v>
      </c>
      <c r="Q74" s="55">
        <f t="shared" si="21"/>
        <v>0</v>
      </c>
      <c r="R74" s="55">
        <f t="shared" si="21"/>
        <v>0</v>
      </c>
      <c r="S74" s="55">
        <f t="shared" si="19"/>
        <v>0</v>
      </c>
      <c r="T74" s="107">
        <f>SUM(T19,T25,T31,T37,T43,T49,T55,T61,T67,T73)</f>
        <v>0</v>
      </c>
      <c r="U74" s="62">
        <f>SUM(U19,U25,U31,U37,U43,U49,U55,U61,U67,U73)</f>
        <v>0</v>
      </c>
      <c r="V74" s="109">
        <f>SUM(V19,V25,V31,V37,V43,V49,V55,V61,V67,V73)</f>
        <v>0</v>
      </c>
    </row>
    <row r="75" spans="1:22" x14ac:dyDescent="0.25">
      <c r="A75" s="127">
        <v>37012</v>
      </c>
      <c r="B75" s="186">
        <f>Input!H$28</f>
        <v>0</v>
      </c>
      <c r="D75" s="129">
        <v>11</v>
      </c>
      <c r="E75" s="130" t="s">
        <v>126</v>
      </c>
      <c r="F75" s="47" t="s">
        <v>109</v>
      </c>
      <c r="G75" s="63">
        <v>38443</v>
      </c>
      <c r="H75" s="63">
        <v>38473</v>
      </c>
      <c r="I75" s="63">
        <v>38504</v>
      </c>
      <c r="J75" s="63">
        <v>38534</v>
      </c>
      <c r="K75" s="63">
        <v>38565</v>
      </c>
      <c r="L75" s="63">
        <v>38596</v>
      </c>
      <c r="M75" s="63">
        <v>38626</v>
      </c>
      <c r="N75" s="63">
        <v>38657</v>
      </c>
      <c r="O75" s="63">
        <v>38687</v>
      </c>
      <c r="P75" s="63">
        <v>38718</v>
      </c>
      <c r="Q75" s="63">
        <v>38749</v>
      </c>
      <c r="R75" s="63">
        <v>38777</v>
      </c>
      <c r="S75" s="156">
        <f>SUM(Input!G36:R36)</f>
        <v>0</v>
      </c>
      <c r="T75" s="146"/>
      <c r="U75" s="131"/>
      <c r="V75" s="132"/>
    </row>
    <row r="76" spans="1:22" x14ac:dyDescent="0.25">
      <c r="A76" s="127">
        <v>37043</v>
      </c>
      <c r="B76" s="186">
        <f>Input!I$28</f>
        <v>0</v>
      </c>
      <c r="D76" s="129"/>
      <c r="E76" s="130"/>
      <c r="F76" s="51" t="s">
        <v>110</v>
      </c>
      <c r="G76" s="54">
        <f>IF(Input!G36=0,0,INT((Input!G36*8.33/100)+0.5))</f>
        <v>0</v>
      </c>
      <c r="H76" s="54">
        <f>IF(Input!H36=0,0,INT((Input!H36*8.33/100)+0.5))</f>
        <v>0</v>
      </c>
      <c r="I76" s="54">
        <f>IF(Input!I36=0,0,INT((Input!I36*8.33/100)+0.5))</f>
        <v>0</v>
      </c>
      <c r="J76" s="54">
        <f>IF(Input!J36=0,0,INT((Input!J36*8.33/100)+0.5))</f>
        <v>0</v>
      </c>
      <c r="K76" s="54">
        <f>IF(Input!K36=0,0,INT((Input!K36*8.33/100)+0.5))</f>
        <v>0</v>
      </c>
      <c r="L76" s="54">
        <f>IF(Input!L36=0,0,INT((Input!L36*8.33/100)+0.5))</f>
        <v>0</v>
      </c>
      <c r="M76" s="54">
        <f>IF(Input!M36=0,0,INT((Input!M36*8.33/100)+0.5))</f>
        <v>0</v>
      </c>
      <c r="N76" s="54">
        <f>IF(Input!N36=0,0,INT((Input!N36*8.33/100)+0.5))</f>
        <v>0</v>
      </c>
      <c r="O76" s="54">
        <f>IF(Input!O36=0,0,INT((Input!O36*8.33/100)+0.5))</f>
        <v>0</v>
      </c>
      <c r="P76" s="54">
        <f>IF(Input!P36=0,0,INT((Input!P36*8.33/100)+0.5))</f>
        <v>0</v>
      </c>
      <c r="Q76" s="54">
        <f>IF(Input!Q36=0,0,INT((Input!Q36*8.33/100)+0.5))</f>
        <v>0</v>
      </c>
      <c r="R76" s="54">
        <f>IF(Input!R36=0,0,INT((Input!R36*8.33/100)+0.5))</f>
        <v>0</v>
      </c>
      <c r="S76" s="55">
        <f>SUM(G76:R76)</f>
        <v>0</v>
      </c>
      <c r="T76" s="146"/>
      <c r="U76" s="131"/>
      <c r="V76" s="132"/>
    </row>
    <row r="77" spans="1:22" ht="30" x14ac:dyDescent="0.25">
      <c r="A77" s="127">
        <v>37073</v>
      </c>
      <c r="B77" s="186">
        <f>Input!J$28</f>
        <v>0</v>
      </c>
      <c r="D77" s="129"/>
      <c r="E77" s="130"/>
      <c r="F77" s="51" t="s">
        <v>112</v>
      </c>
      <c r="G77" s="54">
        <f>IF(Input!G36&lt;=$P$7,INT((Input!G36*8.33%)+0.5),INT(($P$7*8.33%)+0.5))</f>
        <v>0</v>
      </c>
      <c r="H77" s="54">
        <f>IF(Input!H36&lt;=$P$7,INT((Input!H36*8.33%)+0.5),INT(($P$7*8.33%)+0.5))</f>
        <v>0</v>
      </c>
      <c r="I77" s="54">
        <f>IF(Input!I36&lt;=$P$7,INT((Input!I36*8.33%)+0.5),INT(($P$7*8.33%)+0.5))</f>
        <v>0</v>
      </c>
      <c r="J77" s="54">
        <f>IF(Input!J36&lt;=$P$7,INT((Input!J36*8.33%)+0.5),INT(($P$7*8.33%)+0.5))</f>
        <v>0</v>
      </c>
      <c r="K77" s="54">
        <f>IF(Input!K36&lt;=$P$7,INT((Input!K36*8.33%)+0.5),INT(($P$7*8.33%)+0.5))</f>
        <v>0</v>
      </c>
      <c r="L77" s="54">
        <f>IF(Input!L36&lt;=$P$7,INT((Input!L36*8.33%)+0.5),INT(($P$7*8.33%)+0.5))</f>
        <v>0</v>
      </c>
      <c r="M77" s="54">
        <f>IF(Input!M36&lt;=$P$7,INT((Input!M36*8.33%)+0.5),INT(($P$7*8.33%)+0.5))</f>
        <v>0</v>
      </c>
      <c r="N77" s="54">
        <f>IF(Input!N36&lt;=$P$7,INT((Input!N36*8.33%)+0.5),INT(($P$7*8.33%)+0.5))</f>
        <v>0</v>
      </c>
      <c r="O77" s="54">
        <f>IF(Input!O36&lt;=$P$7,INT((Input!O36*8.33%)+0.5),INT(($P$7*8.33%)+0.5))</f>
        <v>0</v>
      </c>
      <c r="P77" s="54">
        <f>IF(Input!P36&lt;=$P$7,INT((Input!P36*8.33%)+0.5),INT(($P$7*8.33%)+0.5))</f>
        <v>0</v>
      </c>
      <c r="Q77" s="54">
        <f>IF(Input!Q36&lt;=$P$7,INT((Input!Q36*8.33%)+0.5),INT(($P$7*8.33%)+0.5))</f>
        <v>0</v>
      </c>
      <c r="R77" s="54">
        <f>IF(Input!R36&lt;=$P$7,INT((Input!R36*8.33%)+0.5),INT(($P$7*8.33%)+0.5))</f>
        <v>0</v>
      </c>
      <c r="S77" s="55">
        <f t="shared" ref="S77:S80" si="22">SUM(G77:R77)</f>
        <v>0</v>
      </c>
      <c r="T77" s="146"/>
      <c r="U77" s="131"/>
      <c r="V77" s="132"/>
    </row>
    <row r="78" spans="1:22" ht="30" x14ac:dyDescent="0.25">
      <c r="A78" s="127">
        <v>37104</v>
      </c>
      <c r="B78" s="186">
        <f>Input!K$28</f>
        <v>0</v>
      </c>
      <c r="D78" s="129"/>
      <c r="E78" s="130"/>
      <c r="F78" s="51" t="s">
        <v>113</v>
      </c>
      <c r="G78" s="55">
        <f t="shared" ref="G78:R78" si="23">IF(G76-G77&lt;=0,0,G76-G77)</f>
        <v>0</v>
      </c>
      <c r="H78" s="55">
        <f t="shared" si="23"/>
        <v>0</v>
      </c>
      <c r="I78" s="55">
        <f t="shared" si="23"/>
        <v>0</v>
      </c>
      <c r="J78" s="55">
        <f t="shared" si="23"/>
        <v>0</v>
      </c>
      <c r="K78" s="55">
        <f t="shared" si="23"/>
        <v>0</v>
      </c>
      <c r="L78" s="55">
        <f t="shared" si="23"/>
        <v>0</v>
      </c>
      <c r="M78" s="55">
        <f t="shared" si="23"/>
        <v>0</v>
      </c>
      <c r="N78" s="55">
        <f t="shared" si="23"/>
        <v>0</v>
      </c>
      <c r="O78" s="55">
        <f t="shared" si="23"/>
        <v>0</v>
      </c>
      <c r="P78" s="55">
        <f t="shared" si="23"/>
        <v>0</v>
      </c>
      <c r="Q78" s="55">
        <f t="shared" si="23"/>
        <v>0</v>
      </c>
      <c r="R78" s="55">
        <f t="shared" si="23"/>
        <v>0</v>
      </c>
      <c r="S78" s="55">
        <f t="shared" si="22"/>
        <v>0</v>
      </c>
      <c r="T78" s="146"/>
      <c r="U78" s="131"/>
      <c r="V78" s="132"/>
    </row>
    <row r="79" spans="1:22" x14ac:dyDescent="0.25">
      <c r="A79" s="127">
        <v>37135</v>
      </c>
      <c r="B79" s="186">
        <f>Input!L$28</f>
        <v>0</v>
      </c>
      <c r="D79" s="129"/>
      <c r="E79" s="130" t="s">
        <v>114</v>
      </c>
      <c r="F79" s="51" t="s">
        <v>115</v>
      </c>
      <c r="G79" s="56">
        <f>IF(G75=0,0,IF($T$11&lt;=Input!G35,0,R72+R73+U73))</f>
        <v>0</v>
      </c>
      <c r="H79" s="56">
        <f>IF(H75=0,0,IF($T$11&lt;=Input!H35,0,G78+G79))</f>
        <v>0</v>
      </c>
      <c r="I79" s="56">
        <f>IF(I75=0,0,IF($T$11&lt;=Input!I35,0,H78+H79))</f>
        <v>0</v>
      </c>
      <c r="J79" s="56">
        <f>IF(J75=0,0,IF($T$11&lt;=Input!J35,0,I78+I79))</f>
        <v>0</v>
      </c>
      <c r="K79" s="56">
        <f>IF(K75=0,0,IF($T$11&lt;=Input!K35,0,J78+J79))</f>
        <v>0</v>
      </c>
      <c r="L79" s="56">
        <f>IF(L75=0,0,IF($T$11&lt;=Input!L35,0,K78+K79))</f>
        <v>0</v>
      </c>
      <c r="M79" s="56">
        <f>IF(M75=0,0,IF($T$11&lt;=Input!M35,0,L78+L79))</f>
        <v>0</v>
      </c>
      <c r="N79" s="56">
        <f>IF(N75=0,0,IF($T$11&lt;=Input!N35,0,M78+M79))</f>
        <v>0</v>
      </c>
      <c r="O79" s="56">
        <f>IF(O75=0,0,IF($T$11&lt;=Input!O35,0,N78+N79))</f>
        <v>0</v>
      </c>
      <c r="P79" s="56">
        <f>IF(P75=0,0,IF($T$11&lt;=Input!P35,0,O78+O79))</f>
        <v>0</v>
      </c>
      <c r="Q79" s="56">
        <f>IF(Q75=0,0,IF($T$11&lt;=Input!Q35,0,P78+P79))</f>
        <v>0</v>
      </c>
      <c r="R79" s="56">
        <f>IF(R75=0,0,IF($T$11&lt;=Input!R35,0,Q78+Q79))</f>
        <v>0</v>
      </c>
      <c r="S79" s="55"/>
      <c r="T79" s="106">
        <f>SUM(G78:R78)</f>
        <v>0</v>
      </c>
      <c r="U79" s="55">
        <f>SUM(G80:R80)</f>
        <v>0</v>
      </c>
      <c r="V79" s="108">
        <f>SUM(T79,U79)</f>
        <v>0</v>
      </c>
    </row>
    <row r="80" spans="1:22" x14ac:dyDescent="0.25">
      <c r="A80" s="127">
        <v>37165</v>
      </c>
      <c r="B80" s="186">
        <f>Input!M$28</f>
        <v>0</v>
      </c>
      <c r="D80" s="129"/>
      <c r="E80" s="58">
        <v>8.5000000000000006E-2</v>
      </c>
      <c r="F80" s="59" t="s">
        <v>116</v>
      </c>
      <c r="G80" s="64">
        <f t="shared" ref="G80:R80" si="24">G79/12*$E80</f>
        <v>0</v>
      </c>
      <c r="H80" s="55">
        <f t="shared" si="24"/>
        <v>0</v>
      </c>
      <c r="I80" s="55">
        <f t="shared" si="24"/>
        <v>0</v>
      </c>
      <c r="J80" s="55">
        <f t="shared" si="24"/>
        <v>0</v>
      </c>
      <c r="K80" s="55">
        <f t="shared" si="24"/>
        <v>0</v>
      </c>
      <c r="L80" s="55">
        <f t="shared" si="24"/>
        <v>0</v>
      </c>
      <c r="M80" s="55">
        <f t="shared" si="24"/>
        <v>0</v>
      </c>
      <c r="N80" s="55">
        <f t="shared" si="24"/>
        <v>0</v>
      </c>
      <c r="O80" s="55">
        <f t="shared" si="24"/>
        <v>0</v>
      </c>
      <c r="P80" s="55">
        <f t="shared" si="24"/>
        <v>0</v>
      </c>
      <c r="Q80" s="55">
        <f t="shared" si="24"/>
        <v>0</v>
      </c>
      <c r="R80" s="55">
        <f t="shared" si="24"/>
        <v>0</v>
      </c>
      <c r="S80" s="55">
        <f t="shared" si="22"/>
        <v>0</v>
      </c>
      <c r="T80" s="107">
        <f>SUM(T19,T25,T31,T37,T43,T49,T55,T61,T67,T73,T79)</f>
        <v>0</v>
      </c>
      <c r="U80" s="62">
        <f>SUM(U19,U25,U31,U37,U43,U49,U55,U61,U67,U73,U79)</f>
        <v>0</v>
      </c>
      <c r="V80" s="109">
        <f>SUM(V19,V25,V31,V37,V43,V49,V55,V61,V67,V73,V79)</f>
        <v>0</v>
      </c>
    </row>
    <row r="81" spans="1:22" x14ac:dyDescent="0.25">
      <c r="A81" s="127">
        <v>37196</v>
      </c>
      <c r="B81" s="186">
        <f>Input!N$28</f>
        <v>0</v>
      </c>
      <c r="D81" s="129">
        <v>12</v>
      </c>
      <c r="E81" s="130" t="s">
        <v>127</v>
      </c>
      <c r="F81" s="47" t="s">
        <v>109</v>
      </c>
      <c r="G81" s="63">
        <v>38808</v>
      </c>
      <c r="H81" s="63">
        <v>38838</v>
      </c>
      <c r="I81" s="63">
        <v>38869</v>
      </c>
      <c r="J81" s="63">
        <v>38899</v>
      </c>
      <c r="K81" s="63">
        <v>38930</v>
      </c>
      <c r="L81" s="63">
        <v>38961</v>
      </c>
      <c r="M81" s="63">
        <v>38991</v>
      </c>
      <c r="N81" s="63">
        <v>39022</v>
      </c>
      <c r="O81" s="63">
        <v>39052</v>
      </c>
      <c r="P81" s="63">
        <v>39083</v>
      </c>
      <c r="Q81" s="63">
        <v>39114</v>
      </c>
      <c r="R81" s="63">
        <v>39142</v>
      </c>
      <c r="S81" s="156">
        <f>SUM(Input!G38:R38)</f>
        <v>0</v>
      </c>
      <c r="T81" s="146"/>
      <c r="U81" s="131"/>
      <c r="V81" s="132"/>
    </row>
    <row r="82" spans="1:22" x14ac:dyDescent="0.25">
      <c r="A82" s="127">
        <v>37226</v>
      </c>
      <c r="B82" s="186">
        <f>Input!O$28</f>
        <v>0</v>
      </c>
      <c r="D82" s="129"/>
      <c r="E82" s="130"/>
      <c r="F82" s="51" t="s">
        <v>110</v>
      </c>
      <c r="G82" s="54">
        <f>IF(Input!G38=0,0,INT((Input!G38*8.33/100)+0.5))</f>
        <v>0</v>
      </c>
      <c r="H82" s="54">
        <f>IF(Input!H38=0,0,INT((Input!H38*8.33/100)+0.5))</f>
        <v>0</v>
      </c>
      <c r="I82" s="54">
        <f>IF(Input!I38=0,0,INT((Input!I38*8.33/100)+0.5))</f>
        <v>0</v>
      </c>
      <c r="J82" s="54">
        <f>IF(Input!J38=0,0,INT((Input!J38*8.33/100)+0.5))</f>
        <v>0</v>
      </c>
      <c r="K82" s="54">
        <f>IF(Input!K38=0,0,INT((Input!K38*8.33/100)+0.5))</f>
        <v>0</v>
      </c>
      <c r="L82" s="54">
        <f>IF(Input!L38=0,0,INT((Input!L38*8.33/100)+0.5))</f>
        <v>0</v>
      </c>
      <c r="M82" s="54">
        <f>IF(Input!M38=0,0,INT((Input!M38*8.33/100)+0.5))</f>
        <v>0</v>
      </c>
      <c r="N82" s="54">
        <f>IF(Input!N38=0,0,INT((Input!N38*8.33/100)+0.5))</f>
        <v>0</v>
      </c>
      <c r="O82" s="54">
        <f>IF(Input!O38=0,0,INT((Input!O38*8.33/100)+0.5))</f>
        <v>0</v>
      </c>
      <c r="P82" s="54">
        <f>IF(Input!P38=0,0,INT((Input!P38*8.33/100)+0.5))</f>
        <v>0</v>
      </c>
      <c r="Q82" s="54">
        <f>IF(Input!Q38=0,0,INT((Input!Q38*8.33/100)+0.5))</f>
        <v>0</v>
      </c>
      <c r="R82" s="54">
        <f>IF(Input!R38=0,0,INT((Input!R38*8.33/100)+0.5))</f>
        <v>0</v>
      </c>
      <c r="S82" s="55">
        <f>SUM(G82:R82)</f>
        <v>0</v>
      </c>
      <c r="T82" s="146"/>
      <c r="U82" s="131"/>
      <c r="V82" s="132"/>
    </row>
    <row r="83" spans="1:22" ht="30" x14ac:dyDescent="0.25">
      <c r="A83" s="127">
        <v>37257</v>
      </c>
      <c r="B83" s="186">
        <f>Input!P$28</f>
        <v>0</v>
      </c>
      <c r="D83" s="129"/>
      <c r="E83" s="130"/>
      <c r="F83" s="51" t="s">
        <v>112</v>
      </c>
      <c r="G83" s="54">
        <f>IF(Input!G38&lt;=$P$7,INT((Input!G38*8.33%)+0.5),INT(($P$7*8.33%)+0.5))</f>
        <v>0</v>
      </c>
      <c r="H83" s="54">
        <f>IF(Input!H38&lt;=$P$7,INT((Input!H38*8.33%)+0.5),INT(($P$7*8.33%)+0.5))</f>
        <v>0</v>
      </c>
      <c r="I83" s="54">
        <f>IF(Input!I38&lt;=$P$7,INT((Input!I38*8.33%)+0.5),INT(($P$7*8.33%)+0.5))</f>
        <v>0</v>
      </c>
      <c r="J83" s="54">
        <f>IF(Input!J38&lt;=$P$7,INT((Input!J38*8.33%)+0.5),INT(($P$7*8.33%)+0.5))</f>
        <v>0</v>
      </c>
      <c r="K83" s="54">
        <f>IF(Input!K38&lt;=$P$7,INT((Input!K38*8.33%)+0.5),INT(($P$7*8.33%)+0.5))</f>
        <v>0</v>
      </c>
      <c r="L83" s="54">
        <f>IF(Input!L38&lt;=$P$7,INT((Input!L38*8.33%)+0.5),INT(($P$7*8.33%)+0.5))</f>
        <v>0</v>
      </c>
      <c r="M83" s="54">
        <f>IF(Input!M38&lt;=$P$7,INT((Input!M38*8.33%)+0.5),INT(($P$7*8.33%)+0.5))</f>
        <v>0</v>
      </c>
      <c r="N83" s="54">
        <f>IF(Input!N38&lt;=$P$7,INT((Input!N38*8.33%)+0.5),INT(($P$7*8.33%)+0.5))</f>
        <v>0</v>
      </c>
      <c r="O83" s="54">
        <f>IF(Input!O38&lt;=$P$7,INT((Input!O38*8.33%)+0.5),INT(($P$7*8.33%)+0.5))</f>
        <v>0</v>
      </c>
      <c r="P83" s="54">
        <f>IF(Input!P38&lt;=$P$7,INT((Input!P38*8.33%)+0.5),INT(($P$7*8.33%)+0.5))</f>
        <v>0</v>
      </c>
      <c r="Q83" s="54">
        <f>IF(Input!Q38&lt;=$P$7,INT((Input!Q38*8.33%)+0.5),INT(($P$7*8.33%)+0.5))</f>
        <v>0</v>
      </c>
      <c r="R83" s="54">
        <f>IF(Input!R38&lt;=$P$7,INT((Input!R38*8.33%)+0.5),INT(($P$7*8.33%)+0.5))</f>
        <v>0</v>
      </c>
      <c r="S83" s="55">
        <f t="shared" ref="S83:S86" si="25">SUM(G83:R83)</f>
        <v>0</v>
      </c>
      <c r="T83" s="146"/>
      <c r="U83" s="131"/>
      <c r="V83" s="132"/>
    </row>
    <row r="84" spans="1:22" ht="30" x14ac:dyDescent="0.25">
      <c r="A84" s="127">
        <v>37288</v>
      </c>
      <c r="B84" s="186">
        <f>Input!Q$28</f>
        <v>0</v>
      </c>
      <c r="D84" s="129"/>
      <c r="E84" s="130"/>
      <c r="F84" s="51" t="s">
        <v>113</v>
      </c>
      <c r="G84" s="55">
        <f t="shared" ref="G84:R84" si="26">IF(G82-G83&lt;=0,0,G82-G83)</f>
        <v>0</v>
      </c>
      <c r="H84" s="55">
        <f t="shared" si="26"/>
        <v>0</v>
      </c>
      <c r="I84" s="55">
        <f t="shared" si="26"/>
        <v>0</v>
      </c>
      <c r="J84" s="55">
        <f t="shared" si="26"/>
        <v>0</v>
      </c>
      <c r="K84" s="55">
        <f t="shared" si="26"/>
        <v>0</v>
      </c>
      <c r="L84" s="55">
        <f t="shared" si="26"/>
        <v>0</v>
      </c>
      <c r="M84" s="55">
        <f t="shared" si="26"/>
        <v>0</v>
      </c>
      <c r="N84" s="55">
        <f t="shared" si="26"/>
        <v>0</v>
      </c>
      <c r="O84" s="55">
        <f t="shared" si="26"/>
        <v>0</v>
      </c>
      <c r="P84" s="55">
        <f t="shared" si="26"/>
        <v>0</v>
      </c>
      <c r="Q84" s="55">
        <f t="shared" si="26"/>
        <v>0</v>
      </c>
      <c r="R84" s="55">
        <f t="shared" si="26"/>
        <v>0</v>
      </c>
      <c r="S84" s="55">
        <f t="shared" si="25"/>
        <v>0</v>
      </c>
      <c r="T84" s="146"/>
      <c r="U84" s="131"/>
      <c r="V84" s="132"/>
    </row>
    <row r="85" spans="1:22" x14ac:dyDescent="0.25">
      <c r="A85" s="127">
        <v>37316</v>
      </c>
      <c r="B85" s="186">
        <f>Input!R$28</f>
        <v>0</v>
      </c>
      <c r="D85" s="129"/>
      <c r="E85" s="130" t="s">
        <v>114</v>
      </c>
      <c r="F85" s="51" t="s">
        <v>115</v>
      </c>
      <c r="G85" s="56">
        <f>IF(G81=0,0,IF($T$11&lt;=Input!G37,0,R78+R79+U79))</f>
        <v>0</v>
      </c>
      <c r="H85" s="56">
        <f>IF(H81=0,0,IF($T$11&lt;=Input!H37,0,G84+G85))</f>
        <v>0</v>
      </c>
      <c r="I85" s="56">
        <f>IF(I81=0,0,IF($T$11&lt;=Input!I37,0,H84+H85))</f>
        <v>0</v>
      </c>
      <c r="J85" s="56">
        <f>IF(J81=0,0,IF($T$11&lt;=Input!J37,0,I84+I85))</f>
        <v>0</v>
      </c>
      <c r="K85" s="56">
        <f>IF(K81=0,0,IF($T$11&lt;=Input!K37,0,J84+J85))</f>
        <v>0</v>
      </c>
      <c r="L85" s="56">
        <f>IF(L81=0,0,IF($T$11&lt;=Input!L37,0,K84+K85))</f>
        <v>0</v>
      </c>
      <c r="M85" s="56">
        <f>IF(M81=0,0,IF($T$11&lt;=Input!M37,0,L84+L85))</f>
        <v>0</v>
      </c>
      <c r="N85" s="56">
        <f>IF(N81=0,0,IF($T$11&lt;=Input!N37,0,M84+M85))</f>
        <v>0</v>
      </c>
      <c r="O85" s="56">
        <f>IF(O81=0,0,IF($T$11&lt;=Input!O37,0,N84+N85))</f>
        <v>0</v>
      </c>
      <c r="P85" s="56">
        <f>IF(P81=0,0,IF($T$11&lt;=Input!P37,0,O84+O85))</f>
        <v>0</v>
      </c>
      <c r="Q85" s="56">
        <f>IF(Q81=0,0,IF($T$11&lt;=Input!Q37,0,P84+P85))</f>
        <v>0</v>
      </c>
      <c r="R85" s="56">
        <f>IF(R81=0,0,IF($T$11&lt;=Input!R37,0,Q84+Q85))</f>
        <v>0</v>
      </c>
      <c r="S85" s="55"/>
      <c r="T85" s="106">
        <f>SUM(G84:R84)</f>
        <v>0</v>
      </c>
      <c r="U85" s="55">
        <f>SUM(G86:R86)</f>
        <v>0</v>
      </c>
      <c r="V85" s="108">
        <f>SUM(T85,U85)</f>
        <v>0</v>
      </c>
    </row>
    <row r="86" spans="1:22" x14ac:dyDescent="0.25">
      <c r="A86" s="127">
        <v>37347</v>
      </c>
      <c r="B86" s="186">
        <f>Input!G$30</f>
        <v>0</v>
      </c>
      <c r="D86" s="129"/>
      <c r="E86" s="58">
        <v>8.5000000000000006E-2</v>
      </c>
      <c r="F86" s="59" t="s">
        <v>116</v>
      </c>
      <c r="G86" s="64">
        <f t="shared" ref="G86:R86" si="27">G85/12*$E86</f>
        <v>0</v>
      </c>
      <c r="H86" s="55">
        <f t="shared" si="27"/>
        <v>0</v>
      </c>
      <c r="I86" s="55">
        <f t="shared" si="27"/>
        <v>0</v>
      </c>
      <c r="J86" s="55">
        <f t="shared" si="27"/>
        <v>0</v>
      </c>
      <c r="K86" s="55">
        <f t="shared" si="27"/>
        <v>0</v>
      </c>
      <c r="L86" s="55">
        <f t="shared" si="27"/>
        <v>0</v>
      </c>
      <c r="M86" s="55">
        <f t="shared" si="27"/>
        <v>0</v>
      </c>
      <c r="N86" s="55">
        <f t="shared" si="27"/>
        <v>0</v>
      </c>
      <c r="O86" s="55">
        <f t="shared" si="27"/>
        <v>0</v>
      </c>
      <c r="P86" s="55">
        <f t="shared" si="27"/>
        <v>0</v>
      </c>
      <c r="Q86" s="55">
        <f t="shared" si="27"/>
        <v>0</v>
      </c>
      <c r="R86" s="55">
        <f t="shared" si="27"/>
        <v>0</v>
      </c>
      <c r="S86" s="55">
        <f t="shared" si="25"/>
        <v>0</v>
      </c>
      <c r="T86" s="107">
        <f>SUM(T19,T25,T31,T37,T43,T49,T55,T61,T67,T73,T79,T85)</f>
        <v>0</v>
      </c>
      <c r="U86" s="62">
        <f>SUM(U19,U25,U31,U37,U43,U49,U55,U61,U67,U73,U79,U85)</f>
        <v>0</v>
      </c>
      <c r="V86" s="109">
        <f>SUM(V19,V25,V31,V37,V43,V49,V55,V61,V67,V73,V79,V85)</f>
        <v>0</v>
      </c>
    </row>
    <row r="87" spans="1:22" x14ac:dyDescent="0.25">
      <c r="A87" s="127">
        <v>37377</v>
      </c>
      <c r="B87" s="186">
        <f>Input!H$30</f>
        <v>0</v>
      </c>
      <c r="D87" s="129">
        <v>13</v>
      </c>
      <c r="E87" s="130" t="s">
        <v>128</v>
      </c>
      <c r="F87" s="47" t="s">
        <v>109</v>
      </c>
      <c r="G87" s="63">
        <v>39173</v>
      </c>
      <c r="H87" s="63">
        <v>39203</v>
      </c>
      <c r="I87" s="63">
        <v>39234</v>
      </c>
      <c r="J87" s="63">
        <v>39264</v>
      </c>
      <c r="K87" s="63">
        <v>39295</v>
      </c>
      <c r="L87" s="63">
        <v>39326</v>
      </c>
      <c r="M87" s="63">
        <v>39356</v>
      </c>
      <c r="N87" s="63">
        <v>39387</v>
      </c>
      <c r="O87" s="63">
        <v>39417</v>
      </c>
      <c r="P87" s="63">
        <v>39448</v>
      </c>
      <c r="Q87" s="63">
        <v>39479</v>
      </c>
      <c r="R87" s="63">
        <v>39508</v>
      </c>
      <c r="S87" s="156">
        <f>SUM(Input!G40:R40)</f>
        <v>0</v>
      </c>
      <c r="T87" s="146"/>
      <c r="U87" s="131"/>
      <c r="V87" s="132"/>
    </row>
    <row r="88" spans="1:22" x14ac:dyDescent="0.25">
      <c r="A88" s="127">
        <v>37408</v>
      </c>
      <c r="B88" s="186">
        <f>Input!I$30</f>
        <v>0</v>
      </c>
      <c r="D88" s="129"/>
      <c r="E88" s="130"/>
      <c r="F88" s="51" t="s">
        <v>110</v>
      </c>
      <c r="G88" s="54">
        <f>IF(Input!G40=0,0,INT((Input!G40*8.33/100)+0.5))</f>
        <v>0</v>
      </c>
      <c r="H88" s="54">
        <f>IF(Input!H40=0,0,INT((Input!H40*8.33/100)+0.5))</f>
        <v>0</v>
      </c>
      <c r="I88" s="54">
        <f>IF(Input!I40=0,0,INT((Input!I40*8.33/100)+0.5))</f>
        <v>0</v>
      </c>
      <c r="J88" s="54">
        <f>IF(Input!J40=0,0,INT((Input!J40*8.33/100)+0.5))</f>
        <v>0</v>
      </c>
      <c r="K88" s="54">
        <f>IF(Input!K40=0,0,INT((Input!K40*8.33/100)+0.5))</f>
        <v>0</v>
      </c>
      <c r="L88" s="54">
        <f>IF(Input!L40=0,0,INT((Input!L40*8.33/100)+0.5))</f>
        <v>0</v>
      </c>
      <c r="M88" s="54">
        <f>IF(Input!M40=0,0,INT((Input!M40*8.33/100)+0.5))</f>
        <v>0</v>
      </c>
      <c r="N88" s="54">
        <f>IF(Input!N40=0,0,INT((Input!N40*8.33/100)+0.5))</f>
        <v>0</v>
      </c>
      <c r="O88" s="54">
        <f>IF(Input!O40=0,0,INT((Input!O40*8.33/100)+0.5))</f>
        <v>0</v>
      </c>
      <c r="P88" s="54">
        <f>IF(Input!P40=0,0,INT((Input!P40*8.33/100)+0.5))</f>
        <v>0</v>
      </c>
      <c r="Q88" s="54">
        <f>IF(Input!Q40=0,0,INT((Input!Q40*8.33/100)+0.5))</f>
        <v>0</v>
      </c>
      <c r="R88" s="54">
        <f>IF(Input!R40=0,0,INT((Input!R40*8.33/100)+0.5))</f>
        <v>0</v>
      </c>
      <c r="S88" s="55">
        <f>SUM(G88:R88)</f>
        <v>0</v>
      </c>
      <c r="T88" s="146"/>
      <c r="U88" s="131"/>
      <c r="V88" s="132"/>
    </row>
    <row r="89" spans="1:22" ht="30" x14ac:dyDescent="0.25">
      <c r="A89" s="127">
        <v>37438</v>
      </c>
      <c r="B89" s="186">
        <f>Input!J$30</f>
        <v>0</v>
      </c>
      <c r="D89" s="129"/>
      <c r="E89" s="130"/>
      <c r="F89" s="51" t="s">
        <v>112</v>
      </c>
      <c r="G89" s="54">
        <f>IF(Input!G40&lt;=$P$7,INT((Input!G40*8.33%)+0.5),INT(($P$7*8.33%)+0.5))</f>
        <v>0</v>
      </c>
      <c r="H89" s="54">
        <f>IF(Input!H40&lt;=$P$7,INT((Input!H40*8.33%)+0.5),INT(($P$7*8.33%)+0.5))</f>
        <v>0</v>
      </c>
      <c r="I89" s="54">
        <f>IF(Input!I40&lt;=$P$7,INT((Input!I40*8.33%)+0.5),INT(($P$7*8.33%)+0.5))</f>
        <v>0</v>
      </c>
      <c r="J89" s="54">
        <f>IF(Input!J40&lt;=$P$7,INT((Input!J40*8.33%)+0.5),INT(($P$7*8.33%)+0.5))</f>
        <v>0</v>
      </c>
      <c r="K89" s="54">
        <f>IF(Input!K40&lt;=$P$7,INT((Input!K40*8.33%)+0.5),INT(($P$7*8.33%)+0.5))</f>
        <v>0</v>
      </c>
      <c r="L89" s="54">
        <f>IF(Input!L40&lt;=$P$7,INT((Input!L40*8.33%)+0.5),INT(($P$7*8.33%)+0.5))</f>
        <v>0</v>
      </c>
      <c r="M89" s="54">
        <f>IF(Input!M40&lt;=$P$7,INT((Input!M40*8.33%)+0.5),INT(($P$7*8.33%)+0.5))</f>
        <v>0</v>
      </c>
      <c r="N89" s="54">
        <f>IF(Input!N40&lt;=$P$7,INT((Input!N40*8.33%)+0.5),INT(($P$7*8.33%)+0.5))</f>
        <v>0</v>
      </c>
      <c r="O89" s="54">
        <f>IF(Input!O40&lt;=$P$7,INT((Input!O40*8.33%)+0.5),INT(($P$7*8.33%)+0.5))</f>
        <v>0</v>
      </c>
      <c r="P89" s="54">
        <f>IF(Input!P40&lt;=$P$7,INT((Input!P40*8.33%)+0.5),INT(($P$7*8.33%)+0.5))</f>
        <v>0</v>
      </c>
      <c r="Q89" s="54">
        <f>IF(Input!Q40&lt;=$P$7,INT((Input!Q40*8.33%)+0.5),INT(($P$7*8.33%)+0.5))</f>
        <v>0</v>
      </c>
      <c r="R89" s="54">
        <f>IF(Input!R40&lt;=$P$7,INT((Input!R40*8.33%)+0.5),INT(($P$7*8.33%)+0.5))</f>
        <v>0</v>
      </c>
      <c r="S89" s="55">
        <f t="shared" ref="S89:S92" si="28">SUM(G89:R89)</f>
        <v>0</v>
      </c>
      <c r="T89" s="146"/>
      <c r="U89" s="131"/>
      <c r="V89" s="132"/>
    </row>
    <row r="90" spans="1:22" ht="30" x14ac:dyDescent="0.25">
      <c r="A90" s="127">
        <v>37469</v>
      </c>
      <c r="B90" s="186">
        <f>Input!K$30</f>
        <v>0</v>
      </c>
      <c r="D90" s="129"/>
      <c r="E90" s="130"/>
      <c r="F90" s="51" t="s">
        <v>113</v>
      </c>
      <c r="G90" s="55">
        <f t="shared" ref="G90:R90" si="29">IF(G88-G89&lt;=0,0,G88-G89)</f>
        <v>0</v>
      </c>
      <c r="H90" s="55">
        <f t="shared" si="29"/>
        <v>0</v>
      </c>
      <c r="I90" s="55">
        <f t="shared" si="29"/>
        <v>0</v>
      </c>
      <c r="J90" s="55">
        <f t="shared" si="29"/>
        <v>0</v>
      </c>
      <c r="K90" s="55">
        <f t="shared" si="29"/>
        <v>0</v>
      </c>
      <c r="L90" s="55">
        <f t="shared" si="29"/>
        <v>0</v>
      </c>
      <c r="M90" s="55">
        <f t="shared" si="29"/>
        <v>0</v>
      </c>
      <c r="N90" s="55">
        <f t="shared" si="29"/>
        <v>0</v>
      </c>
      <c r="O90" s="55">
        <f t="shared" si="29"/>
        <v>0</v>
      </c>
      <c r="P90" s="55">
        <f t="shared" si="29"/>
        <v>0</v>
      </c>
      <c r="Q90" s="55">
        <f t="shared" si="29"/>
        <v>0</v>
      </c>
      <c r="R90" s="55">
        <f t="shared" si="29"/>
        <v>0</v>
      </c>
      <c r="S90" s="55">
        <f t="shared" si="28"/>
        <v>0</v>
      </c>
      <c r="T90" s="146"/>
      <c r="U90" s="131"/>
      <c r="V90" s="132"/>
    </row>
    <row r="91" spans="1:22" x14ac:dyDescent="0.25">
      <c r="A91" s="127">
        <v>37500</v>
      </c>
      <c r="B91" s="186">
        <f>Input!L$30</f>
        <v>0</v>
      </c>
      <c r="D91" s="129"/>
      <c r="E91" s="130" t="s">
        <v>114</v>
      </c>
      <c r="F91" s="51" t="s">
        <v>115</v>
      </c>
      <c r="G91" s="56">
        <f>IF(G87=0,0,IF($T$11&lt;=Input!G39,0,R84+R85+U85))</f>
        <v>0</v>
      </c>
      <c r="H91" s="56">
        <f>IF(H87=0,0,IF($T$11&lt;=Input!H39,0,G90+G91))</f>
        <v>0</v>
      </c>
      <c r="I91" s="56">
        <f>IF(I87=0,0,IF($T$11&lt;=Input!I39,0,H90+H91))</f>
        <v>0</v>
      </c>
      <c r="J91" s="56">
        <f>IF(J87=0,0,IF($T$11&lt;=Input!J39,0,I90+I91))</f>
        <v>0</v>
      </c>
      <c r="K91" s="56">
        <f>IF(K87=0,0,IF($T$11&lt;=Input!K39,0,J90+J91))</f>
        <v>0</v>
      </c>
      <c r="L91" s="56">
        <f>IF(L87=0,0,IF($T$11&lt;=Input!L39,0,K90+K91))</f>
        <v>0</v>
      </c>
      <c r="M91" s="56">
        <f>IF(M87=0,0,IF($T$11&lt;=Input!M39,0,L90+L91))</f>
        <v>0</v>
      </c>
      <c r="N91" s="56">
        <f>IF(N87=0,0,IF($T$11&lt;=Input!N39,0,M90+M91))</f>
        <v>0</v>
      </c>
      <c r="O91" s="56">
        <f>IF(O87=0,0,IF($T$11&lt;=Input!O39,0,N90+N91))</f>
        <v>0</v>
      </c>
      <c r="P91" s="56">
        <f>IF(P87=0,0,IF($T$11&lt;=Input!P39,0,O90+O91))</f>
        <v>0</v>
      </c>
      <c r="Q91" s="56">
        <f>IF(Q87=0,0,IF($T$11&lt;=Input!Q39,0,P90+P91))</f>
        <v>0</v>
      </c>
      <c r="R91" s="56">
        <f>IF(R87=0,0,IF($T$11&lt;=Input!R39,0,Q90+Q91))</f>
        <v>0</v>
      </c>
      <c r="S91" s="55"/>
      <c r="T91" s="106">
        <f>SUM(G90:R90)</f>
        <v>0</v>
      </c>
      <c r="U91" s="55">
        <f>SUM(G92:R92)</f>
        <v>0</v>
      </c>
      <c r="V91" s="108">
        <f>SUM(T91,U91)</f>
        <v>0</v>
      </c>
    </row>
    <row r="92" spans="1:22" x14ac:dyDescent="0.25">
      <c r="A92" s="127">
        <v>37530</v>
      </c>
      <c r="B92" s="186">
        <f>Input!M$30</f>
        <v>0</v>
      </c>
      <c r="D92" s="129"/>
      <c r="E92" s="58">
        <v>8.5000000000000006E-2</v>
      </c>
      <c r="F92" s="59" t="s">
        <v>116</v>
      </c>
      <c r="G92" s="64">
        <f t="shared" ref="G92:R92" si="30">G91/12*$E92</f>
        <v>0</v>
      </c>
      <c r="H92" s="55">
        <f t="shared" si="30"/>
        <v>0</v>
      </c>
      <c r="I92" s="55">
        <f t="shared" si="30"/>
        <v>0</v>
      </c>
      <c r="J92" s="55">
        <f t="shared" si="30"/>
        <v>0</v>
      </c>
      <c r="K92" s="55">
        <f t="shared" si="30"/>
        <v>0</v>
      </c>
      <c r="L92" s="55">
        <f t="shared" si="30"/>
        <v>0</v>
      </c>
      <c r="M92" s="55">
        <f t="shared" si="30"/>
        <v>0</v>
      </c>
      <c r="N92" s="55">
        <f t="shared" si="30"/>
        <v>0</v>
      </c>
      <c r="O92" s="55">
        <f t="shared" si="30"/>
        <v>0</v>
      </c>
      <c r="P92" s="55">
        <f t="shared" si="30"/>
        <v>0</v>
      </c>
      <c r="Q92" s="55">
        <f t="shared" si="30"/>
        <v>0</v>
      </c>
      <c r="R92" s="55">
        <f t="shared" si="30"/>
        <v>0</v>
      </c>
      <c r="S92" s="55">
        <f t="shared" si="28"/>
        <v>0</v>
      </c>
      <c r="T92" s="107">
        <f>SUM(T19,T25,T31,T37,T43,T49,T55,T61,T67,T73,T79,T85,T91)</f>
        <v>0</v>
      </c>
      <c r="U92" s="62">
        <f>SUM(U19,U25,U31,U37,U43,U49,U55,U61,U67,U73,U79,U85,U91)</f>
        <v>0</v>
      </c>
      <c r="V92" s="109">
        <f>SUM(V19,V25,V31,V37,V43,V49,V55,V61,V67,V73,V79,V85,V91)</f>
        <v>0</v>
      </c>
    </row>
    <row r="93" spans="1:22" x14ac:dyDescent="0.25">
      <c r="A93" s="127">
        <v>37561</v>
      </c>
      <c r="B93" s="186">
        <f>Input!N$30</f>
        <v>0</v>
      </c>
      <c r="D93" s="129">
        <v>14</v>
      </c>
      <c r="E93" s="130" t="s">
        <v>129</v>
      </c>
      <c r="F93" s="47" t="s">
        <v>109</v>
      </c>
      <c r="G93" s="63">
        <v>39539</v>
      </c>
      <c r="H93" s="63">
        <v>39569</v>
      </c>
      <c r="I93" s="94">
        <v>39600</v>
      </c>
      <c r="J93" s="63">
        <v>39630</v>
      </c>
      <c r="K93" s="63">
        <v>39661</v>
      </c>
      <c r="L93" s="63">
        <v>39692</v>
      </c>
      <c r="M93" s="63">
        <v>39722</v>
      </c>
      <c r="N93" s="63">
        <v>39753</v>
      </c>
      <c r="O93" s="63">
        <v>39783</v>
      </c>
      <c r="P93" s="63">
        <v>39814</v>
      </c>
      <c r="Q93" s="63">
        <v>39845</v>
      </c>
      <c r="R93" s="63">
        <v>39873</v>
      </c>
      <c r="S93" s="156">
        <f>SUM(Input!G42:R42)</f>
        <v>174178</v>
      </c>
      <c r="T93" s="146"/>
      <c r="U93" s="131"/>
      <c r="V93" s="132"/>
    </row>
    <row r="94" spans="1:22" x14ac:dyDescent="0.25">
      <c r="A94" s="127">
        <v>37591</v>
      </c>
      <c r="B94" s="186">
        <f>Input!O$30</f>
        <v>0</v>
      </c>
      <c r="D94" s="129"/>
      <c r="E94" s="130"/>
      <c r="F94" s="51" t="s">
        <v>110</v>
      </c>
      <c r="G94" s="54">
        <f>IF(Input!G42=0,0,INT((Input!G42*8.33/100)+0.5))</f>
        <v>0</v>
      </c>
      <c r="H94" s="54">
        <f>IF(Input!H42=0,0,INT((Input!H42*8.33/100)+0.5))</f>
        <v>0</v>
      </c>
      <c r="I94" s="54">
        <f>IF(Input!I42=0,0,INT((Input!I42*8.33/100)+0.5))</f>
        <v>0</v>
      </c>
      <c r="J94" s="54">
        <f>IF(Input!J42=0,0,INT((Input!J42*8.33/100)+0.5))</f>
        <v>0</v>
      </c>
      <c r="K94" s="54">
        <f>IF(Input!K42=0,0,INT((Input!K42*8.33/100)+0.5))</f>
        <v>0</v>
      </c>
      <c r="L94" s="54">
        <f>IF(Input!L42=0,0,INT((Input!L42*8.33/100)+0.5))</f>
        <v>0</v>
      </c>
      <c r="M94" s="54">
        <f>IF(Input!M42=0,0,INT((Input!M42*8.33/100)+0.5))</f>
        <v>0</v>
      </c>
      <c r="N94" s="54">
        <f>IF(Input!N42=0,0,INT((Input!N42*8.33/100)+0.5))</f>
        <v>0</v>
      </c>
      <c r="O94" s="54">
        <f>IF(Input!O42=0,0,INT((Input!O42*8.33/100)+0.5))</f>
        <v>0</v>
      </c>
      <c r="P94" s="54">
        <f>IF(Input!P42=0,0,INT((Input!P42*8.33/100)+0.5))</f>
        <v>0</v>
      </c>
      <c r="Q94" s="54">
        <f>IF(Input!Q42=0,0,INT((Input!Q42*8.33/100)+0.5))</f>
        <v>0</v>
      </c>
      <c r="R94" s="54">
        <f>IF(Input!R42=0,0,INT((Input!R42*8.33/100)+0.5))</f>
        <v>14509</v>
      </c>
      <c r="S94" s="55">
        <f>SUM(G94:R94)</f>
        <v>14509</v>
      </c>
      <c r="T94" s="146"/>
      <c r="U94" s="131"/>
      <c r="V94" s="132"/>
    </row>
    <row r="95" spans="1:22" ht="30" x14ac:dyDescent="0.25">
      <c r="A95" s="127">
        <v>37622</v>
      </c>
      <c r="B95" s="186">
        <f>Input!P$30</f>
        <v>0</v>
      </c>
      <c r="D95" s="129"/>
      <c r="E95" s="130"/>
      <c r="F95" s="51" t="s">
        <v>112</v>
      </c>
      <c r="G95" s="54">
        <f>IF(Input!G42&lt;=$P$7,INT((Input!G42*8.33%)+0.5),INT(($P$7*8.33%)+0.5))</f>
        <v>0</v>
      </c>
      <c r="H95" s="54">
        <f>IF(Input!H42&lt;=$P$7,INT((Input!H42*8.33%)+0.5),INT(($P$7*8.33%)+0.5))</f>
        <v>0</v>
      </c>
      <c r="I95" s="54">
        <f>IF(Input!I42&lt;=$P$7,INT((Input!I42*8.33%)+0.5),INT(($P$7*8.33%)+0.5))</f>
        <v>0</v>
      </c>
      <c r="J95" s="54">
        <f>IF(Input!J42&lt;=$P$7,INT((Input!J42*8.33%)+0.5),INT(($P$7*8.33%)+0.5))</f>
        <v>0</v>
      </c>
      <c r="K95" s="54">
        <f>IF(Input!K42&lt;=$P$7,INT((Input!K42*8.33%)+0.5),INT(($P$7*8.33%)+0.5))</f>
        <v>0</v>
      </c>
      <c r="L95" s="54">
        <f>IF(Input!L42&lt;=$P$7,INT((Input!L42*8.33%)+0.5),INT(($P$7*8.33%)+0.5))</f>
        <v>0</v>
      </c>
      <c r="M95" s="54">
        <f>IF(Input!M42&lt;=$P$7,INT((Input!M42*8.33%)+0.5),INT(($P$7*8.33%)+0.5))</f>
        <v>0</v>
      </c>
      <c r="N95" s="54">
        <f>IF(Input!N42&lt;=$P$7,INT((Input!N42*8.33%)+0.5),INT(($P$7*8.33%)+0.5))</f>
        <v>0</v>
      </c>
      <c r="O95" s="54">
        <f>IF(Input!O42&lt;=$P$7,INT((Input!O42*8.33%)+0.5),INT(($P$7*8.33%)+0.5))</f>
        <v>0</v>
      </c>
      <c r="P95" s="54">
        <f>IF(Input!P42&lt;=$P$7,INT((Input!P42*8.33%)+0.5),INT(($P$7*8.33%)+0.5))</f>
        <v>0</v>
      </c>
      <c r="Q95" s="54">
        <f>IF(Input!Q42&lt;=$P$7,INT((Input!Q42*8.33%)+0.5),INT(($P$7*8.33%)+0.5))</f>
        <v>0</v>
      </c>
      <c r="R95" s="54">
        <f>IF(Input!R42&lt;=$P$7,INT((Input!R42*8.33%)+0.5),INT(($P$7*8.33%)+0.5))</f>
        <v>541</v>
      </c>
      <c r="S95" s="55">
        <f t="shared" ref="S95:S98" si="31">SUM(G95:R95)</f>
        <v>541</v>
      </c>
      <c r="T95" s="146"/>
      <c r="U95" s="131"/>
      <c r="V95" s="132"/>
    </row>
    <row r="96" spans="1:22" ht="30" x14ac:dyDescent="0.25">
      <c r="A96" s="127">
        <v>37653</v>
      </c>
      <c r="B96" s="186">
        <f>Input!Q$30</f>
        <v>0</v>
      </c>
      <c r="D96" s="129"/>
      <c r="E96" s="130"/>
      <c r="F96" s="51" t="s">
        <v>113</v>
      </c>
      <c r="G96" s="55">
        <f t="shared" ref="G96:R96" si="32">IF(G94-G95&lt;=0,0,G94-G95)</f>
        <v>0</v>
      </c>
      <c r="H96" s="55">
        <f t="shared" si="32"/>
        <v>0</v>
      </c>
      <c r="I96" s="76">
        <f t="shared" si="32"/>
        <v>0</v>
      </c>
      <c r="J96" s="55">
        <f t="shared" si="32"/>
        <v>0</v>
      </c>
      <c r="K96" s="55">
        <f t="shared" si="32"/>
        <v>0</v>
      </c>
      <c r="L96" s="55">
        <f t="shared" si="32"/>
        <v>0</v>
      </c>
      <c r="M96" s="55">
        <f t="shared" si="32"/>
        <v>0</v>
      </c>
      <c r="N96" s="55">
        <f t="shared" si="32"/>
        <v>0</v>
      </c>
      <c r="O96" s="55">
        <f t="shared" si="32"/>
        <v>0</v>
      </c>
      <c r="P96" s="55">
        <f t="shared" si="32"/>
        <v>0</v>
      </c>
      <c r="Q96" s="55">
        <f t="shared" si="32"/>
        <v>0</v>
      </c>
      <c r="R96" s="55">
        <f t="shared" si="32"/>
        <v>13968</v>
      </c>
      <c r="S96" s="55">
        <f t="shared" si="31"/>
        <v>13968</v>
      </c>
      <c r="T96" s="146"/>
      <c r="U96" s="131"/>
      <c r="V96" s="132"/>
    </row>
    <row r="97" spans="1:22" x14ac:dyDescent="0.25">
      <c r="A97" s="127">
        <v>37681</v>
      </c>
      <c r="B97" s="186">
        <f>Input!R$30</f>
        <v>0</v>
      </c>
      <c r="D97" s="129"/>
      <c r="E97" s="130" t="s">
        <v>114</v>
      </c>
      <c r="F97" s="51" t="s">
        <v>115</v>
      </c>
      <c r="G97" s="56">
        <f>IF(G93=0,0,IF($T$11&lt;=Input!G41,0,R90+R91+U91))</f>
        <v>0</v>
      </c>
      <c r="H97" s="56">
        <f>IF(H93=0,0,IF($T$11&lt;=Input!H41,0,G96+G97))</f>
        <v>0</v>
      </c>
      <c r="I97" s="54">
        <f>IF(I93=0,0,IF($T$11&lt;=Input!I41,0,H96+H97))</f>
        <v>0</v>
      </c>
      <c r="J97" s="56">
        <f>IF(J93=0,0,IF($T$11&lt;=Input!J41,0,I96+I97))</f>
        <v>0</v>
      </c>
      <c r="K97" s="56">
        <f>IF(K93=0,0,IF($T$11&lt;=Input!K41,0,J96+J97))</f>
        <v>0</v>
      </c>
      <c r="L97" s="56">
        <f>IF(L93=0,0,IF($T$11&lt;=Input!L41,0,K96+K97))</f>
        <v>0</v>
      </c>
      <c r="M97" s="56">
        <f>IF(M93=0,0,IF($T$11&lt;=Input!M41,0,L96+L97))</f>
        <v>0</v>
      </c>
      <c r="N97" s="56">
        <f>IF(N93=0,0,IF($T$11&lt;=Input!N41,0,M96+M97))</f>
        <v>0</v>
      </c>
      <c r="O97" s="56">
        <f>IF(O93=0,0,IF($T$11&lt;=Input!O41,0,N96+N97))</f>
        <v>0</v>
      </c>
      <c r="P97" s="56">
        <f>IF(P93=0,0,IF($T$11&lt;=Input!P41,0,O96+O97))</f>
        <v>0</v>
      </c>
      <c r="Q97" s="56">
        <f>IF(Q93=0,0,IF($T$11&lt;=Input!Q41,0,P96+P97))</f>
        <v>0</v>
      </c>
      <c r="R97" s="56">
        <f>IF(R93=0,0,IF($T$11&lt;=Input!R41,0,Q96+Q97))</f>
        <v>0</v>
      </c>
      <c r="S97" s="55"/>
      <c r="T97" s="106">
        <f>SUM(G96:R96)</f>
        <v>13968</v>
      </c>
      <c r="U97" s="55">
        <f>SUM(G98:R98)</f>
        <v>0</v>
      </c>
      <c r="V97" s="108">
        <f>SUM(T97,U97)</f>
        <v>13968</v>
      </c>
    </row>
    <row r="98" spans="1:22" x14ac:dyDescent="0.25">
      <c r="A98" s="127">
        <v>37712</v>
      </c>
      <c r="B98" s="186">
        <f>Input!G$32</f>
        <v>0</v>
      </c>
      <c r="D98" s="129"/>
      <c r="E98" s="58">
        <v>8.5000000000000006E-2</v>
      </c>
      <c r="F98" s="59" t="s">
        <v>116</v>
      </c>
      <c r="G98" s="64">
        <f t="shared" ref="G98:R98" si="33">G97/12*$E98</f>
        <v>0</v>
      </c>
      <c r="H98" s="55">
        <f t="shared" si="33"/>
        <v>0</v>
      </c>
      <c r="I98" s="76">
        <f t="shared" si="33"/>
        <v>0</v>
      </c>
      <c r="J98" s="55">
        <f t="shared" si="33"/>
        <v>0</v>
      </c>
      <c r="K98" s="55">
        <f t="shared" si="33"/>
        <v>0</v>
      </c>
      <c r="L98" s="55">
        <f t="shared" si="33"/>
        <v>0</v>
      </c>
      <c r="M98" s="55">
        <f t="shared" si="33"/>
        <v>0</v>
      </c>
      <c r="N98" s="55">
        <f t="shared" si="33"/>
        <v>0</v>
      </c>
      <c r="O98" s="55">
        <f t="shared" si="33"/>
        <v>0</v>
      </c>
      <c r="P98" s="55">
        <f t="shared" si="33"/>
        <v>0</v>
      </c>
      <c r="Q98" s="55">
        <f t="shared" si="33"/>
        <v>0</v>
      </c>
      <c r="R98" s="55">
        <f t="shared" si="33"/>
        <v>0</v>
      </c>
      <c r="S98" s="55">
        <f t="shared" si="31"/>
        <v>0</v>
      </c>
      <c r="T98" s="107">
        <f>SUM(T19,T25,T31,T37,T43,T49,T55,T61,T67,T73,T79,T85,T91,T97)</f>
        <v>13968</v>
      </c>
      <c r="U98" s="62">
        <f>SUM(U19,U25,U31,U37,U43,U49,U55,U61,U67,U73,U79,U85,U91,U97)</f>
        <v>0</v>
      </c>
      <c r="V98" s="109">
        <f>SUM(V19,V25,V31,V37,V43,V49,V55,V61,V67,V73,V79,V85,V91,V97)</f>
        <v>13968</v>
      </c>
    </row>
    <row r="99" spans="1:22" x14ac:dyDescent="0.25">
      <c r="A99" s="127">
        <v>37742</v>
      </c>
      <c r="B99" s="186">
        <f>Input!H$32</f>
        <v>0</v>
      </c>
      <c r="D99" s="129">
        <v>15</v>
      </c>
      <c r="E99" s="130" t="s">
        <v>130</v>
      </c>
      <c r="F99" s="47" t="s">
        <v>109</v>
      </c>
      <c r="G99" s="63">
        <v>39904</v>
      </c>
      <c r="H99" s="63">
        <v>39934</v>
      </c>
      <c r="I99" s="63">
        <v>39965</v>
      </c>
      <c r="J99" s="63">
        <v>39995</v>
      </c>
      <c r="K99" s="63">
        <v>40026</v>
      </c>
      <c r="L99" s="63">
        <v>40057</v>
      </c>
      <c r="M99" s="63">
        <v>40087</v>
      </c>
      <c r="N99" s="63">
        <v>40118</v>
      </c>
      <c r="O99" s="63">
        <v>40148</v>
      </c>
      <c r="P99" s="63">
        <v>40179</v>
      </c>
      <c r="Q99" s="63">
        <v>40210</v>
      </c>
      <c r="R99" s="63">
        <v>40238</v>
      </c>
      <c r="S99" s="156">
        <f>SUM(Input!G44:R44)</f>
        <v>369267</v>
      </c>
      <c r="T99" s="146"/>
      <c r="U99" s="131"/>
      <c r="V99" s="132"/>
    </row>
    <row r="100" spans="1:22" x14ac:dyDescent="0.25">
      <c r="A100" s="127">
        <v>37773</v>
      </c>
      <c r="B100" s="186">
        <f>Input!I$32</f>
        <v>0</v>
      </c>
      <c r="D100" s="129"/>
      <c r="E100" s="130"/>
      <c r="F100" s="51" t="s">
        <v>110</v>
      </c>
      <c r="G100" s="54">
        <f>IF(Input!G44=0,0,INT((Input!G44*8.33/100)+0.5))</f>
        <v>2413</v>
      </c>
      <c r="H100" s="54">
        <f>IF(Input!H44=0,0,INT((Input!H44*8.33/100)+0.5))</f>
        <v>2413</v>
      </c>
      <c r="I100" s="54">
        <f>IF(Input!I44=0,0,INT((Input!I44*8.33/100)+0.5))</f>
        <v>2650</v>
      </c>
      <c r="J100" s="54">
        <f>IF(Input!J44=0,0,INT((Input!J44*8.33/100)+0.5))</f>
        <v>2486</v>
      </c>
      <c r="K100" s="54">
        <f>IF(Input!K44=0,0,INT((Input!K44*8.33/100)+0.5))</f>
        <v>2486</v>
      </c>
      <c r="L100" s="54">
        <f>IF(Input!L44=0,0,INT((Input!L44*8.33/100)+0.5))</f>
        <v>2486</v>
      </c>
      <c r="M100" s="54">
        <f>IF(Input!M44=0,0,INT((Input!M44*8.33/100)+0.5))</f>
        <v>2588</v>
      </c>
      <c r="N100" s="54">
        <f>IF(Input!N44=0,0,INT((Input!N44*8.33/100)+0.5))</f>
        <v>2588</v>
      </c>
      <c r="O100" s="54">
        <f>IF(Input!O44=0,0,INT((Input!O44*8.33/100)+0.5))</f>
        <v>2892</v>
      </c>
      <c r="P100" s="54">
        <f>IF(Input!P44=0,0,INT((Input!P44*8.33/100)+0.5))</f>
        <v>2587</v>
      </c>
      <c r="Q100" s="54">
        <f>IF(Input!Q44=0,0,INT((Input!Q44*8.33/100)+0.5))</f>
        <v>2587</v>
      </c>
      <c r="R100" s="54">
        <f>IF(Input!R44=0,0,INT((Input!R44*8.33/100)+0.5))</f>
        <v>2587</v>
      </c>
      <c r="S100" s="55">
        <f>SUM(G100:R100)</f>
        <v>30763</v>
      </c>
      <c r="T100" s="146"/>
      <c r="U100" s="131"/>
      <c r="V100" s="132"/>
    </row>
    <row r="101" spans="1:22" ht="30" x14ac:dyDescent="0.25">
      <c r="A101" s="127">
        <v>37803</v>
      </c>
      <c r="B101" s="186">
        <f>Input!J$32</f>
        <v>0</v>
      </c>
      <c r="D101" s="129"/>
      <c r="E101" s="130"/>
      <c r="F101" s="51" t="s">
        <v>112</v>
      </c>
      <c r="G101" s="54">
        <f>IF(Input!G44&lt;=$P$7,INT((Input!G44*8.33%)+0.5),INT(($P$7*8.33%)+0.5))</f>
        <v>541</v>
      </c>
      <c r="H101" s="54">
        <f>IF(Input!H44&lt;=$P$7,INT((Input!H44*8.33%)+0.5),INT(($P$7*8.33%)+0.5))</f>
        <v>541</v>
      </c>
      <c r="I101" s="54">
        <f>IF(Input!I44&lt;=$P$7,INT((Input!I44*8.33%)+0.5),INT(($P$7*8.33%)+0.5))</f>
        <v>541</v>
      </c>
      <c r="J101" s="54">
        <f>IF(Input!J44&lt;=$P$7,INT((Input!J44*8.33%)+0.5),INT(($P$7*8.33%)+0.5))</f>
        <v>541</v>
      </c>
      <c r="K101" s="54">
        <f>IF(Input!K44&lt;=$P$7,INT((Input!K44*8.33%)+0.5),INT(($P$7*8.33%)+0.5))</f>
        <v>541</v>
      </c>
      <c r="L101" s="54">
        <f>IF(Input!L44&lt;=$P$7,INT((Input!L44*8.33%)+0.5),INT(($P$7*8.33%)+0.5))</f>
        <v>541</v>
      </c>
      <c r="M101" s="54">
        <f>IF(Input!M44&lt;=$P$7,INT((Input!M44*8.33%)+0.5),INT(($P$7*8.33%)+0.5))</f>
        <v>541</v>
      </c>
      <c r="N101" s="54">
        <f>IF(Input!N44&lt;=$P$7,INT((Input!N44*8.33%)+0.5),INT(($P$7*8.33%)+0.5))</f>
        <v>541</v>
      </c>
      <c r="O101" s="54">
        <f>IF(Input!O44&lt;=$P$7,INT((Input!O44*8.33%)+0.5),INT(($P$7*8.33%)+0.5))</f>
        <v>541</v>
      </c>
      <c r="P101" s="54">
        <f>IF(Input!P44&lt;=$P$7,INT((Input!P44*8.33%)+0.5),INT(($P$7*8.33%)+0.5))</f>
        <v>541</v>
      </c>
      <c r="Q101" s="54">
        <f>IF(Input!Q44&lt;=$P$7,INT((Input!Q44*8.33%)+0.5),INT(($P$7*8.33%)+0.5))</f>
        <v>541</v>
      </c>
      <c r="R101" s="54">
        <f>IF(Input!R44&lt;=$P$7,INT((Input!R44*8.33%)+0.5),INT(($P$7*8.33%)+0.5))</f>
        <v>541</v>
      </c>
      <c r="S101" s="55">
        <f t="shared" ref="S101:S104" si="34">SUM(G101:R101)</f>
        <v>6492</v>
      </c>
      <c r="T101" s="146"/>
      <c r="U101" s="131"/>
      <c r="V101" s="132"/>
    </row>
    <row r="102" spans="1:22" ht="30" x14ac:dyDescent="0.25">
      <c r="A102" s="127">
        <v>37834</v>
      </c>
      <c r="B102" s="186">
        <f>Input!K$32</f>
        <v>0</v>
      </c>
      <c r="D102" s="129"/>
      <c r="E102" s="130"/>
      <c r="F102" s="51" t="s">
        <v>113</v>
      </c>
      <c r="G102" s="55">
        <f t="shared" ref="G102:R102" si="35">IF(G100-G101&lt;=0,0,G100-G101)</f>
        <v>1872</v>
      </c>
      <c r="H102" s="55">
        <f t="shared" si="35"/>
        <v>1872</v>
      </c>
      <c r="I102" s="55">
        <f t="shared" si="35"/>
        <v>2109</v>
      </c>
      <c r="J102" s="55">
        <f t="shared" si="35"/>
        <v>1945</v>
      </c>
      <c r="K102" s="55">
        <f t="shared" si="35"/>
        <v>1945</v>
      </c>
      <c r="L102" s="55">
        <f t="shared" si="35"/>
        <v>1945</v>
      </c>
      <c r="M102" s="55">
        <f t="shared" si="35"/>
        <v>2047</v>
      </c>
      <c r="N102" s="55">
        <f t="shared" si="35"/>
        <v>2047</v>
      </c>
      <c r="O102" s="55">
        <f t="shared" si="35"/>
        <v>2351</v>
      </c>
      <c r="P102" s="55">
        <f t="shared" si="35"/>
        <v>2046</v>
      </c>
      <c r="Q102" s="55">
        <f t="shared" si="35"/>
        <v>2046</v>
      </c>
      <c r="R102" s="55">
        <f t="shared" si="35"/>
        <v>2046</v>
      </c>
      <c r="S102" s="55">
        <f t="shared" si="34"/>
        <v>24271</v>
      </c>
      <c r="T102" s="146"/>
      <c r="U102" s="131"/>
      <c r="V102" s="132"/>
    </row>
    <row r="103" spans="1:22" x14ac:dyDescent="0.25">
      <c r="A103" s="127">
        <v>37865</v>
      </c>
      <c r="B103" s="186">
        <f>Input!L$32</f>
        <v>0</v>
      </c>
      <c r="D103" s="129"/>
      <c r="E103" s="130" t="s">
        <v>114</v>
      </c>
      <c r="F103" s="51" t="s">
        <v>115</v>
      </c>
      <c r="G103" s="56">
        <f>IF(G99=0,0,IF($T$11&lt;=Input!G43,0,R96+R97+U97))</f>
        <v>13968</v>
      </c>
      <c r="H103" s="56">
        <f>IF(H99=0,0,IF($T$11&lt;=Input!H43,0,G102+G103))</f>
        <v>15840</v>
      </c>
      <c r="I103" s="56">
        <f>IF(I99=0,0,IF($T$11&lt;=Input!I43,0,H102+H103))</f>
        <v>17712</v>
      </c>
      <c r="J103" s="56">
        <f>IF(J99=0,0,IF($T$11&lt;=Input!J43,0,I102+I103))</f>
        <v>19821</v>
      </c>
      <c r="K103" s="56">
        <f>IF(K99=0,0,IF($T$11&lt;=Input!K43,0,J102+J103))</f>
        <v>21766</v>
      </c>
      <c r="L103" s="56">
        <f>IF(L99=0,0,IF($T$11&lt;=Input!L43,0,K102+K103))</f>
        <v>23711</v>
      </c>
      <c r="M103" s="56">
        <f>IF(M99=0,0,IF($T$11&lt;=Input!M43,0,L102+L103))</f>
        <v>25656</v>
      </c>
      <c r="N103" s="56">
        <f>IF(N99=0,0,IF($T$11&lt;=Input!N43,0,M102+M103))</f>
        <v>27703</v>
      </c>
      <c r="O103" s="56">
        <f>IF(O99=0,0,IF($T$11&lt;=Input!O43,0,N102+N103))</f>
        <v>29750</v>
      </c>
      <c r="P103" s="56">
        <f>IF(P99=0,0,IF($T$11&lt;=Input!P43,0,O102+O103))</f>
        <v>32101</v>
      </c>
      <c r="Q103" s="56">
        <f>IF(Q99=0,0,IF($T$11&lt;=Input!Q43,0,P102+P103))</f>
        <v>34147</v>
      </c>
      <c r="R103" s="56">
        <f>IF(R99=0,0,IF($T$11&lt;=Input!R43,0,Q102+Q103))</f>
        <v>36193</v>
      </c>
      <c r="S103" s="55"/>
      <c r="T103" s="106">
        <f>SUM(G102:R102)</f>
        <v>24271</v>
      </c>
      <c r="U103" s="55">
        <f>SUM(G104:R104)</f>
        <v>2113.4400000000005</v>
      </c>
      <c r="V103" s="108">
        <f>SUM(T103,U103)</f>
        <v>26384.440000000002</v>
      </c>
    </row>
    <row r="104" spans="1:22" x14ac:dyDescent="0.25">
      <c r="A104" s="127">
        <v>37895</v>
      </c>
      <c r="B104" s="186">
        <f>Input!M$32</f>
        <v>0</v>
      </c>
      <c r="D104" s="129"/>
      <c r="E104" s="58">
        <v>8.5000000000000006E-2</v>
      </c>
      <c r="F104" s="59" t="s">
        <v>116</v>
      </c>
      <c r="G104" s="64">
        <f t="shared" ref="G104:R104" si="36">G103/12*$E104</f>
        <v>98.940000000000012</v>
      </c>
      <c r="H104" s="55">
        <f t="shared" si="36"/>
        <v>112.2</v>
      </c>
      <c r="I104" s="55">
        <f t="shared" si="36"/>
        <v>125.46000000000001</v>
      </c>
      <c r="J104" s="55">
        <f t="shared" si="36"/>
        <v>140.39875000000001</v>
      </c>
      <c r="K104" s="55">
        <f t="shared" si="36"/>
        <v>154.17583333333334</v>
      </c>
      <c r="L104" s="55">
        <f t="shared" si="36"/>
        <v>167.95291666666668</v>
      </c>
      <c r="M104" s="55">
        <f t="shared" si="36"/>
        <v>181.73000000000002</v>
      </c>
      <c r="N104" s="55">
        <f t="shared" si="36"/>
        <v>196.22958333333335</v>
      </c>
      <c r="O104" s="55">
        <f t="shared" si="36"/>
        <v>210.72916666666666</v>
      </c>
      <c r="P104" s="55">
        <f t="shared" si="36"/>
        <v>227.38208333333336</v>
      </c>
      <c r="Q104" s="55">
        <f t="shared" si="36"/>
        <v>241.87458333333336</v>
      </c>
      <c r="R104" s="55">
        <f t="shared" si="36"/>
        <v>256.36708333333337</v>
      </c>
      <c r="S104" s="55">
        <f t="shared" si="34"/>
        <v>2113.4400000000005</v>
      </c>
      <c r="T104" s="107">
        <f>SUM(T19,T25,T31,T37,T43,T49,T55,T61,T67,T73,T79,T85,T91,T97,T103)</f>
        <v>38239</v>
      </c>
      <c r="U104" s="62">
        <f>SUM(U19,U25,U31,U37,U43,U49,U55,U61,U67,U73,U79,U85,U91,U97,U103)</f>
        <v>2113.4400000000005</v>
      </c>
      <c r="V104" s="109">
        <f>SUM(V19,V25,V31,V37,V43,V49,V55,V61,V67,V73,V79,V85,V91,V97,V103)</f>
        <v>40352.44</v>
      </c>
    </row>
    <row r="105" spans="1:22" x14ac:dyDescent="0.25">
      <c r="A105" s="127">
        <v>37926</v>
      </c>
      <c r="B105" s="186">
        <f>Input!N$32</f>
        <v>0</v>
      </c>
      <c r="D105" s="129">
        <v>16</v>
      </c>
      <c r="E105" s="130" t="s">
        <v>131</v>
      </c>
      <c r="F105" s="47" t="s">
        <v>109</v>
      </c>
      <c r="G105" s="63">
        <v>40269</v>
      </c>
      <c r="H105" s="63">
        <v>40299</v>
      </c>
      <c r="I105" s="63">
        <v>40330</v>
      </c>
      <c r="J105" s="63">
        <v>40360</v>
      </c>
      <c r="K105" s="63">
        <v>40391</v>
      </c>
      <c r="L105" s="63">
        <v>40422</v>
      </c>
      <c r="M105" s="63">
        <v>40452</v>
      </c>
      <c r="N105" s="63">
        <v>40483</v>
      </c>
      <c r="O105" s="63">
        <v>40513</v>
      </c>
      <c r="P105" s="63">
        <v>40544</v>
      </c>
      <c r="Q105" s="63">
        <v>40575</v>
      </c>
      <c r="R105" s="63">
        <v>40603</v>
      </c>
      <c r="S105" s="156">
        <f>SUM(Input!G46:R46)</f>
        <v>449432</v>
      </c>
      <c r="T105" s="146"/>
      <c r="U105" s="131"/>
      <c r="V105" s="132"/>
    </row>
    <row r="106" spans="1:22" x14ac:dyDescent="0.25">
      <c r="A106" s="127">
        <v>37956</v>
      </c>
      <c r="B106" s="186">
        <f>Input!O$32</f>
        <v>0</v>
      </c>
      <c r="D106" s="129"/>
      <c r="E106" s="130"/>
      <c r="F106" s="51" t="s">
        <v>110</v>
      </c>
      <c r="G106" s="54">
        <f>IF(Input!G46=0,0,INT((Input!G46*8.33/100)+0.5))</f>
        <v>3238</v>
      </c>
      <c r="H106" s="54">
        <f>IF(Input!H46=0,0,INT((Input!H46*8.33/100)+0.5))</f>
        <v>2750</v>
      </c>
      <c r="I106" s="54">
        <f>IF(Input!I46=0,0,INT((Input!I46*8.33/100)+0.5))</f>
        <v>2750</v>
      </c>
      <c r="J106" s="54">
        <f>IF(Input!J46=0,0,INT((Input!J46*8.33/100)+0.5))</f>
        <v>2750</v>
      </c>
      <c r="K106" s="54">
        <f>IF(Input!K46=0,0,INT((Input!K46*8.33/100)+0.5))</f>
        <v>2750</v>
      </c>
      <c r="L106" s="54">
        <f>IF(Input!L46=0,0,INT((Input!L46*8.33/100)+0.5))</f>
        <v>2980</v>
      </c>
      <c r="M106" s="54">
        <f>IF(Input!M46=0,0,INT((Input!M46*8.33/100)+0.5))</f>
        <v>3456</v>
      </c>
      <c r="N106" s="54">
        <f>IF(Input!N46=0,0,INT((Input!N46*8.33/100)+0.5))</f>
        <v>3049</v>
      </c>
      <c r="O106" s="54">
        <f>IF(Input!O46=0,0,INT((Input!O46*8.33/100)+0.5))</f>
        <v>3049</v>
      </c>
      <c r="P106" s="54">
        <f>IF(Input!P46=0,0,INT((Input!P46*8.33/100)+0.5))</f>
        <v>3049</v>
      </c>
      <c r="Q106" s="54">
        <f>IF(Input!Q46=0,0,INT((Input!Q46*8.33/100)+0.5))</f>
        <v>3049</v>
      </c>
      <c r="R106" s="54">
        <f>IF(Input!R46=0,0,INT((Input!R46*8.33/100)+0.5))</f>
        <v>4571</v>
      </c>
      <c r="S106" s="55">
        <f>SUM(G106:R106)</f>
        <v>37441</v>
      </c>
      <c r="T106" s="146"/>
      <c r="U106" s="131"/>
      <c r="V106" s="132"/>
    </row>
    <row r="107" spans="1:22" ht="30" x14ac:dyDescent="0.25">
      <c r="A107" s="127">
        <v>37987</v>
      </c>
      <c r="B107" s="186">
        <f>Input!P$32</f>
        <v>0</v>
      </c>
      <c r="D107" s="129"/>
      <c r="E107" s="130"/>
      <c r="F107" s="51" t="s">
        <v>112</v>
      </c>
      <c r="G107" s="54">
        <f>IF(Input!G46&lt;=$P$7,INT((Input!G46*8.33%)+0.5),INT(($P$7*8.33%)+0.5))</f>
        <v>541</v>
      </c>
      <c r="H107" s="54">
        <f>IF(Input!H46&lt;=$P$7,INT((Input!H46*8.33%)+0.5),INT(($P$7*8.33%)+0.5))</f>
        <v>541</v>
      </c>
      <c r="I107" s="54">
        <f>IF(Input!I46&lt;=$P$7,INT((Input!I46*8.33%)+0.5),INT(($P$7*8.33%)+0.5))</f>
        <v>541</v>
      </c>
      <c r="J107" s="54">
        <f>IF(Input!J46&lt;=$P$7,INT((Input!J46*8.33%)+0.5),INT(($P$7*8.33%)+0.5))</f>
        <v>541</v>
      </c>
      <c r="K107" s="54">
        <f>IF(Input!K46&lt;=$P$7,INT((Input!K46*8.33%)+0.5),INT(($P$7*8.33%)+0.5))</f>
        <v>541</v>
      </c>
      <c r="L107" s="54">
        <f>IF(Input!L46&lt;=$P$7,INT((Input!L46*8.33%)+0.5),INT(($P$7*8.33%)+0.5))</f>
        <v>541</v>
      </c>
      <c r="M107" s="54">
        <f>IF(Input!M46&lt;=$P$7,INT((Input!M46*8.33%)+0.5),INT(($P$7*8.33%)+0.5))</f>
        <v>541</v>
      </c>
      <c r="N107" s="54">
        <f>IF(Input!N46&lt;=$P$7,INT((Input!N46*8.33%)+0.5),INT(($P$7*8.33%)+0.5))</f>
        <v>541</v>
      </c>
      <c r="O107" s="54">
        <f>IF(Input!O46&lt;=$P$7,INT((Input!O46*8.33%)+0.5),INT(($P$7*8.33%)+0.5))</f>
        <v>541</v>
      </c>
      <c r="P107" s="54">
        <f>IF(Input!P46&lt;=$P$7,INT((Input!P46*8.33%)+0.5),INT(($P$7*8.33%)+0.5))</f>
        <v>541</v>
      </c>
      <c r="Q107" s="54">
        <f>IF(Input!Q46&lt;=$P$7,INT((Input!Q46*8.33%)+0.5),INT(($P$7*8.33%)+0.5))</f>
        <v>541</v>
      </c>
      <c r="R107" s="54">
        <f>IF(Input!R46&lt;=$P$7,INT((Input!R46*8.33%)+0.5),INT(($P$7*8.33%)+0.5))</f>
        <v>541</v>
      </c>
      <c r="S107" s="55">
        <f t="shared" ref="S107:S110" si="37">SUM(G107:R107)</f>
        <v>6492</v>
      </c>
      <c r="T107" s="146"/>
      <c r="U107" s="131"/>
      <c r="V107" s="132"/>
    </row>
    <row r="108" spans="1:22" ht="30" x14ac:dyDescent="0.25">
      <c r="A108" s="127">
        <v>38018</v>
      </c>
      <c r="B108" s="186">
        <f>Input!Q$32</f>
        <v>0</v>
      </c>
      <c r="D108" s="129"/>
      <c r="E108" s="130"/>
      <c r="F108" s="51" t="s">
        <v>113</v>
      </c>
      <c r="G108" s="55">
        <f t="shared" ref="G108:R108" si="38">IF(G106-G107&lt;=0,0,G106-G107)</f>
        <v>2697</v>
      </c>
      <c r="H108" s="55">
        <f t="shared" si="38"/>
        <v>2209</v>
      </c>
      <c r="I108" s="55">
        <f t="shared" si="38"/>
        <v>2209</v>
      </c>
      <c r="J108" s="55">
        <f t="shared" si="38"/>
        <v>2209</v>
      </c>
      <c r="K108" s="55">
        <f t="shared" si="38"/>
        <v>2209</v>
      </c>
      <c r="L108" s="55">
        <f t="shared" si="38"/>
        <v>2439</v>
      </c>
      <c r="M108" s="55">
        <f t="shared" si="38"/>
        <v>2915</v>
      </c>
      <c r="N108" s="55">
        <f t="shared" si="38"/>
        <v>2508</v>
      </c>
      <c r="O108" s="55">
        <f t="shared" si="38"/>
        <v>2508</v>
      </c>
      <c r="P108" s="55">
        <f t="shared" si="38"/>
        <v>2508</v>
      </c>
      <c r="Q108" s="55">
        <f t="shared" si="38"/>
        <v>2508</v>
      </c>
      <c r="R108" s="55">
        <f t="shared" si="38"/>
        <v>4030</v>
      </c>
      <c r="S108" s="55">
        <f t="shared" si="37"/>
        <v>30949</v>
      </c>
      <c r="T108" s="146"/>
      <c r="U108" s="131"/>
      <c r="V108" s="132"/>
    </row>
    <row r="109" spans="1:22" x14ac:dyDescent="0.25">
      <c r="A109" s="127">
        <v>38047</v>
      </c>
      <c r="B109" s="186">
        <f>Input!R$32</f>
        <v>0</v>
      </c>
      <c r="D109" s="129"/>
      <c r="E109" s="130" t="s">
        <v>114</v>
      </c>
      <c r="F109" s="51" t="s">
        <v>115</v>
      </c>
      <c r="G109" s="56">
        <f>IF(G105=0,0,IF($T$11&lt;=Input!G45,0,R102+R103+U103))</f>
        <v>40352.44</v>
      </c>
      <c r="H109" s="56">
        <f>IF(H105=0,0,IF($T$11&lt;=Input!H45,0,G108+G109))</f>
        <v>43049.440000000002</v>
      </c>
      <c r="I109" s="56">
        <f>IF(I105=0,0,IF($T$11&lt;=Input!I45,0,H108+H109))</f>
        <v>45258.44</v>
      </c>
      <c r="J109" s="56">
        <f>IF(J105=0,0,IF($T$11&lt;=Input!J45,0,I108+I109))</f>
        <v>47467.44</v>
      </c>
      <c r="K109" s="56">
        <f>IF(K105=0,0,IF($T$11&lt;=Input!K45,0,J108+J109))</f>
        <v>49676.44</v>
      </c>
      <c r="L109" s="56">
        <f>IF(L105=0,0,IF($T$11&lt;=Input!L45,0,K108+K109))</f>
        <v>51885.440000000002</v>
      </c>
      <c r="M109" s="56">
        <f>IF(M105=0,0,IF($T$11&lt;=Input!M45,0,L108+L109))</f>
        <v>54324.44</v>
      </c>
      <c r="N109" s="56">
        <f>IF(N105=0,0,IF($T$11&lt;=Input!N45,0,M108+M109))</f>
        <v>57239.44</v>
      </c>
      <c r="O109" s="56">
        <f>IF(O105=0,0,IF($T$11&lt;=Input!O45,0,N108+N109))</f>
        <v>59747.44</v>
      </c>
      <c r="P109" s="56">
        <f>IF(P105=0,0,IF($T$11&lt;=Input!P45,0,O108+O109))</f>
        <v>62255.44</v>
      </c>
      <c r="Q109" s="56">
        <f>IF(Q105=0,0,IF($T$11&lt;=Input!Q45,0,P108+P109))</f>
        <v>64763.44</v>
      </c>
      <c r="R109" s="56">
        <f>IF(R105=0,0,IF($T$11&lt;=Input!R45,0,Q108+Q109))</f>
        <v>67271.44</v>
      </c>
      <c r="S109" s="55"/>
      <c r="T109" s="106">
        <f>SUM(G108:R108)</f>
        <v>30949</v>
      </c>
      <c r="U109" s="55">
        <f>SUM(G110:R110)</f>
        <v>5092.7226333333338</v>
      </c>
      <c r="V109" s="108">
        <f>SUM(T109,U109)</f>
        <v>36041.722633333331</v>
      </c>
    </row>
    <row r="110" spans="1:22" x14ac:dyDescent="0.25">
      <c r="A110" s="127">
        <v>38078</v>
      </c>
      <c r="B110" s="186">
        <f>Input!G$34</f>
        <v>0</v>
      </c>
      <c r="D110" s="129"/>
      <c r="E110" s="58">
        <v>9.5000000000000001E-2</v>
      </c>
      <c r="F110" s="59" t="s">
        <v>116</v>
      </c>
      <c r="G110" s="64">
        <f t="shared" ref="G110:R110" si="39">G109/12*$E110</f>
        <v>319.45681666666667</v>
      </c>
      <c r="H110" s="55">
        <f t="shared" si="39"/>
        <v>340.80806666666666</v>
      </c>
      <c r="I110" s="55">
        <f t="shared" si="39"/>
        <v>358.29598333333337</v>
      </c>
      <c r="J110" s="55">
        <f t="shared" si="39"/>
        <v>375.78390000000002</v>
      </c>
      <c r="K110" s="55">
        <f t="shared" si="39"/>
        <v>393.27181666666672</v>
      </c>
      <c r="L110" s="55">
        <f t="shared" si="39"/>
        <v>410.75973333333337</v>
      </c>
      <c r="M110" s="55">
        <f t="shared" si="39"/>
        <v>430.06848333333335</v>
      </c>
      <c r="N110" s="55">
        <f t="shared" si="39"/>
        <v>453.1455666666667</v>
      </c>
      <c r="O110" s="55">
        <f t="shared" si="39"/>
        <v>473.00056666666671</v>
      </c>
      <c r="P110" s="55">
        <f t="shared" si="39"/>
        <v>492.85556666666673</v>
      </c>
      <c r="Q110" s="55">
        <f t="shared" si="39"/>
        <v>512.71056666666675</v>
      </c>
      <c r="R110" s="55">
        <f t="shared" si="39"/>
        <v>532.56556666666677</v>
      </c>
      <c r="S110" s="55">
        <f t="shared" si="37"/>
        <v>5092.7226333333338</v>
      </c>
      <c r="T110" s="107">
        <f>SUM(T19,T25,T31,T37,T43,T49,T55,T61,T67,T73,T79,T85,T91,T97,T103,T109)</f>
        <v>69188</v>
      </c>
      <c r="U110" s="62">
        <f>SUM(U19,U25,U31,U37,U43,U49,U55,U61,U67,U73,U79,U85,U91,U97,U103,U109)</f>
        <v>7206.1626333333343</v>
      </c>
      <c r="V110" s="109">
        <f>SUM(V19,V25,V31,V37,V43,V49,V55,V61,V67,V73,V79,V85,V91,V97,V103,V109)</f>
        <v>76394.162633333326</v>
      </c>
    </row>
    <row r="111" spans="1:22" x14ac:dyDescent="0.25">
      <c r="A111" s="127">
        <v>38108</v>
      </c>
      <c r="B111" s="186">
        <f>Input!H$34</f>
        <v>0</v>
      </c>
      <c r="D111" s="129">
        <v>17</v>
      </c>
      <c r="E111" s="130" t="s">
        <v>132</v>
      </c>
      <c r="F111" s="47" t="s">
        <v>109</v>
      </c>
      <c r="G111" s="63">
        <v>40634</v>
      </c>
      <c r="H111" s="63">
        <v>40664</v>
      </c>
      <c r="I111" s="63">
        <v>40695</v>
      </c>
      <c r="J111" s="63">
        <v>40725</v>
      </c>
      <c r="K111" s="63">
        <v>40756</v>
      </c>
      <c r="L111" s="63">
        <v>40787</v>
      </c>
      <c r="M111" s="63">
        <v>40817</v>
      </c>
      <c r="N111" s="63">
        <v>40848</v>
      </c>
      <c r="O111" s="63">
        <v>40878</v>
      </c>
      <c r="P111" s="63">
        <v>40909</v>
      </c>
      <c r="Q111" s="63">
        <v>40940</v>
      </c>
      <c r="R111" s="63">
        <v>40969</v>
      </c>
      <c r="S111" s="156">
        <f>SUM(Input!G48:R48)</f>
        <v>487084</v>
      </c>
      <c r="T111" s="146"/>
      <c r="U111" s="131"/>
      <c r="V111" s="132"/>
    </row>
    <row r="112" spans="1:22" x14ac:dyDescent="0.25">
      <c r="A112" s="127">
        <v>38139</v>
      </c>
      <c r="B112" s="186">
        <f>Input!I$34</f>
        <v>0</v>
      </c>
      <c r="D112" s="129"/>
      <c r="E112" s="130"/>
      <c r="F112" s="51" t="s">
        <v>110</v>
      </c>
      <c r="G112" s="54">
        <f>IF(Input!G48=0,0,INT((Input!G48*8.33/100)+0.5))</f>
        <v>3427</v>
      </c>
      <c r="H112" s="54">
        <f>IF(Input!H48=0,0,INT((Input!H48*8.33/100)+0.5))</f>
        <v>3175</v>
      </c>
      <c r="I112" s="54">
        <f>IF(Input!I48=0,0,INT((Input!I48*8.33/100)+0.5))</f>
        <v>3175</v>
      </c>
      <c r="J112" s="54">
        <f>IF(Input!J48=0,0,INT((Input!J48*8.33/100)+0.5))</f>
        <v>3270</v>
      </c>
      <c r="K112" s="54">
        <f>IF(Input!K48=0,0,INT((Input!K48*8.33/100)+0.5))</f>
        <v>3270</v>
      </c>
      <c r="L112" s="54">
        <f>IF(Input!L48=0,0,INT((Input!L48*8.33/100)+0.5))</f>
        <v>3270</v>
      </c>
      <c r="M112" s="54">
        <f>IF(Input!M48=0,0,INT((Input!M48*8.33/100)+0.5))</f>
        <v>3422</v>
      </c>
      <c r="N112" s="54">
        <f>IF(Input!N48=0,0,INT((Input!N48*8.33/100)+0.5))</f>
        <v>3422</v>
      </c>
      <c r="O112" s="54">
        <f>IF(Input!O48=0,0,INT((Input!O48*8.33/100)+0.5))</f>
        <v>3877</v>
      </c>
      <c r="P112" s="54">
        <f>IF(Input!P48=0,0,INT((Input!P48*8.33/100)+0.5))</f>
        <v>3422</v>
      </c>
      <c r="Q112" s="54">
        <f>IF(Input!Q48=0,0,INT((Input!Q48*8.33/100)+0.5))</f>
        <v>3422</v>
      </c>
      <c r="R112" s="54">
        <f>IF(Input!R48=0,0,INT((Input!R48*8.33/100)+0.5))</f>
        <v>3422</v>
      </c>
      <c r="S112" s="55">
        <f>SUM(G112:R112)</f>
        <v>40574</v>
      </c>
      <c r="T112" s="146"/>
      <c r="U112" s="131"/>
      <c r="V112" s="132"/>
    </row>
    <row r="113" spans="1:22" ht="30" x14ac:dyDescent="0.25">
      <c r="A113" s="127">
        <v>38169</v>
      </c>
      <c r="B113" s="186">
        <f>Input!J$34</f>
        <v>0</v>
      </c>
      <c r="D113" s="129"/>
      <c r="E113" s="130"/>
      <c r="F113" s="51" t="s">
        <v>112</v>
      </c>
      <c r="G113" s="54">
        <f>IF(Input!G48&lt;=$P$7,INT((Input!G48*8.33%)+0.5),INT(($P$7*8.33%)+0.5))</f>
        <v>541</v>
      </c>
      <c r="H113" s="54">
        <f>IF(Input!H48&lt;=$P$7,INT((Input!H48*8.33%)+0.5),INT(($P$7*8.33%)+0.5))</f>
        <v>541</v>
      </c>
      <c r="I113" s="54">
        <f>IF(Input!I48&lt;=$P$7,INT((Input!I48*8.33%)+0.5),INT(($P$7*8.33%)+0.5))</f>
        <v>541</v>
      </c>
      <c r="J113" s="54">
        <f>IF(Input!J48&lt;=$P$7,INT((Input!J48*8.33%)+0.5),INT(($P$7*8.33%)+0.5))</f>
        <v>541</v>
      </c>
      <c r="K113" s="54">
        <f>IF(Input!K48&lt;=$P$7,INT((Input!K48*8.33%)+0.5),INT(($P$7*8.33%)+0.5))</f>
        <v>541</v>
      </c>
      <c r="L113" s="54">
        <f>IF(Input!L48&lt;=$P$7,INT((Input!L48*8.33%)+0.5),INT(($P$7*8.33%)+0.5))</f>
        <v>541</v>
      </c>
      <c r="M113" s="54">
        <f>IF(Input!M48&lt;=$P$7,INT((Input!M48*8.33%)+0.5),INT(($P$7*8.33%)+0.5))</f>
        <v>541</v>
      </c>
      <c r="N113" s="54">
        <f>IF(Input!N48&lt;=$P$7,INT((Input!N48*8.33%)+0.5),INT(($P$7*8.33%)+0.5))</f>
        <v>541</v>
      </c>
      <c r="O113" s="54">
        <f>IF(Input!O48&lt;=$P$7,INT((Input!O48*8.33%)+0.5),INT(($P$7*8.33%)+0.5))</f>
        <v>541</v>
      </c>
      <c r="P113" s="54">
        <f>IF(Input!P48&lt;=$P$7,INT((Input!P48*8.33%)+0.5),INT(($P$7*8.33%)+0.5))</f>
        <v>541</v>
      </c>
      <c r="Q113" s="54">
        <f>IF(Input!Q48&lt;=$P$7,INT((Input!Q48*8.33%)+0.5),INT(($P$7*8.33%)+0.5))</f>
        <v>541</v>
      </c>
      <c r="R113" s="54">
        <f>IF(Input!R48&lt;=$P$7,INT((Input!R48*8.33%)+0.5),INT(($P$7*8.33%)+0.5))</f>
        <v>541</v>
      </c>
      <c r="S113" s="55">
        <f t="shared" ref="S113:S116" si="40">SUM(G113:R113)</f>
        <v>6492</v>
      </c>
      <c r="T113" s="146"/>
      <c r="U113" s="131"/>
      <c r="V113" s="132"/>
    </row>
    <row r="114" spans="1:22" ht="30" x14ac:dyDescent="0.25">
      <c r="A114" s="127">
        <v>38200</v>
      </c>
      <c r="B114" s="186">
        <f>Input!K$34</f>
        <v>0</v>
      </c>
      <c r="D114" s="129"/>
      <c r="E114" s="130"/>
      <c r="F114" s="51" t="s">
        <v>113</v>
      </c>
      <c r="G114" s="55">
        <f t="shared" ref="G114:R114" si="41">IF(G112-G113&lt;=0,0,G112-G113)</f>
        <v>2886</v>
      </c>
      <c r="H114" s="55">
        <f t="shared" si="41"/>
        <v>2634</v>
      </c>
      <c r="I114" s="55">
        <f t="shared" si="41"/>
        <v>2634</v>
      </c>
      <c r="J114" s="55">
        <f t="shared" si="41"/>
        <v>2729</v>
      </c>
      <c r="K114" s="55">
        <f t="shared" si="41"/>
        <v>2729</v>
      </c>
      <c r="L114" s="55">
        <f t="shared" si="41"/>
        <v>2729</v>
      </c>
      <c r="M114" s="55">
        <f t="shared" si="41"/>
        <v>2881</v>
      </c>
      <c r="N114" s="55">
        <f t="shared" si="41"/>
        <v>2881</v>
      </c>
      <c r="O114" s="55">
        <f t="shared" si="41"/>
        <v>3336</v>
      </c>
      <c r="P114" s="55">
        <f t="shared" si="41"/>
        <v>2881</v>
      </c>
      <c r="Q114" s="55">
        <f t="shared" si="41"/>
        <v>2881</v>
      </c>
      <c r="R114" s="55">
        <f t="shared" si="41"/>
        <v>2881</v>
      </c>
      <c r="S114" s="55">
        <f t="shared" si="40"/>
        <v>34082</v>
      </c>
      <c r="T114" s="146"/>
      <c r="U114" s="131"/>
      <c r="V114" s="132"/>
    </row>
    <row r="115" spans="1:22" x14ac:dyDescent="0.25">
      <c r="A115" s="127">
        <v>38231</v>
      </c>
      <c r="B115" s="186">
        <f>Input!L$34</f>
        <v>0</v>
      </c>
      <c r="D115" s="129"/>
      <c r="E115" s="130" t="s">
        <v>114</v>
      </c>
      <c r="F115" s="51" t="s">
        <v>115</v>
      </c>
      <c r="G115" s="56">
        <f>IF(G111=0,0,IF($T$11&lt;=Input!G47,0,R108+R109+U109))</f>
        <v>76394.162633333341</v>
      </c>
      <c r="H115" s="56">
        <f>IF(H111=0,0,IF($T$11&lt;=Input!H47,0,G114+G115))</f>
        <v>79280.162633333341</v>
      </c>
      <c r="I115" s="56">
        <f>IF(I111=0,0,IF($T$11&lt;=Input!I47,0,H114+H115))</f>
        <v>81914.162633333341</v>
      </c>
      <c r="J115" s="56">
        <f>IF(J111=0,0,IF($T$11&lt;=Input!J47,0,I114+I115))</f>
        <v>84548.162633333341</v>
      </c>
      <c r="K115" s="56">
        <f>IF(K111=0,0,IF($T$11&lt;=Input!K47,0,J114+J115))</f>
        <v>87277.162633333341</v>
      </c>
      <c r="L115" s="56">
        <f>IF(L111=0,0,IF($T$11&lt;=Input!L47,0,K114+K115))</f>
        <v>90006.162633333341</v>
      </c>
      <c r="M115" s="56">
        <f>IF(M111=0,0,IF($T$11&lt;=Input!M47,0,L114+L115))</f>
        <v>92735.162633333341</v>
      </c>
      <c r="N115" s="56">
        <f>IF(N111=0,0,IF($T$11&lt;=Input!N47,0,M114+M115))</f>
        <v>95616.162633333341</v>
      </c>
      <c r="O115" s="56">
        <f>IF(O111=0,0,IF($T$11&lt;=Input!O47,0,N114+N115))</f>
        <v>98497.162633333341</v>
      </c>
      <c r="P115" s="56">
        <f>IF(P111=0,0,IF($T$11&lt;=Input!P47,0,O114+O115))</f>
        <v>101833.16263333334</v>
      </c>
      <c r="Q115" s="56">
        <f>IF(Q111=0,0,IF($T$11&lt;=Input!Q47,0,P114+P115))</f>
        <v>104714.16263333334</v>
      </c>
      <c r="R115" s="56">
        <f>IF(R111=0,0,IF($T$11&lt;=Input!R47,0,Q114+Q115))</f>
        <v>107595.16263333334</v>
      </c>
      <c r="S115" s="55"/>
      <c r="T115" s="106">
        <f>SUM(G114:R114)</f>
        <v>34082</v>
      </c>
      <c r="U115" s="55">
        <f>SUM(G116:R116)</f>
        <v>7565.3252922500023</v>
      </c>
      <c r="V115" s="108">
        <f>SUM(T115,U115)</f>
        <v>41647.325292250003</v>
      </c>
    </row>
    <row r="116" spans="1:22" x14ac:dyDescent="0.25">
      <c r="A116" s="127">
        <v>38261</v>
      </c>
      <c r="B116" s="186">
        <f>Input!M$34</f>
        <v>0</v>
      </c>
      <c r="D116" s="129"/>
      <c r="E116" s="58">
        <v>8.2500000000000004E-2</v>
      </c>
      <c r="F116" s="59" t="s">
        <v>116</v>
      </c>
      <c r="G116" s="64">
        <f t="shared" ref="G116:R116" si="42">G115/12*$E116</f>
        <v>525.20986810416673</v>
      </c>
      <c r="H116" s="55">
        <f t="shared" si="42"/>
        <v>545.05111810416679</v>
      </c>
      <c r="I116" s="55">
        <f t="shared" si="42"/>
        <v>563.15986810416678</v>
      </c>
      <c r="J116" s="55">
        <f t="shared" si="42"/>
        <v>581.26861810416676</v>
      </c>
      <c r="K116" s="55">
        <f t="shared" si="42"/>
        <v>600.03049310416668</v>
      </c>
      <c r="L116" s="55">
        <f t="shared" si="42"/>
        <v>618.79236810416671</v>
      </c>
      <c r="M116" s="55">
        <f t="shared" si="42"/>
        <v>637.55424310416674</v>
      </c>
      <c r="N116" s="55">
        <f t="shared" si="42"/>
        <v>657.36111810416674</v>
      </c>
      <c r="O116" s="55">
        <f t="shared" si="42"/>
        <v>677.16799310416684</v>
      </c>
      <c r="P116" s="55">
        <f t="shared" si="42"/>
        <v>700.10299310416679</v>
      </c>
      <c r="Q116" s="55">
        <f t="shared" si="42"/>
        <v>719.90986810416666</v>
      </c>
      <c r="R116" s="55">
        <f t="shared" si="42"/>
        <v>739.71674310416677</v>
      </c>
      <c r="S116" s="55">
        <f t="shared" si="40"/>
        <v>7565.3252922500023</v>
      </c>
      <c r="T116" s="107">
        <f>SUM(T19,T25,T31,T37,T43,T49,T55,T61,T67,T73,T79,T85,T91,T97,T103,T109,T115)</f>
        <v>103270</v>
      </c>
      <c r="U116" s="62">
        <f>SUM(U19,U25,U31,U37,U43,U49,U55,U61,U67,U73,U79,U85,U91,U97,U103,U109,U115)</f>
        <v>14771.487925583337</v>
      </c>
      <c r="V116" s="109">
        <f>SUM(V19,V25,V31,V37,V43,V49,V55,V61,V67,V73,V79,V85,V91,V97,V103,V109,V115)</f>
        <v>118041.48792558332</v>
      </c>
    </row>
    <row r="117" spans="1:22" x14ac:dyDescent="0.25">
      <c r="A117" s="127">
        <v>38292</v>
      </c>
      <c r="B117" s="186">
        <f>Input!N$34</f>
        <v>0</v>
      </c>
      <c r="D117" s="129">
        <v>18</v>
      </c>
      <c r="E117" s="130" t="s">
        <v>133</v>
      </c>
      <c r="F117" s="47" t="s">
        <v>109</v>
      </c>
      <c r="G117" s="63">
        <v>41000</v>
      </c>
      <c r="H117" s="63">
        <v>41030</v>
      </c>
      <c r="I117" s="63">
        <v>41061</v>
      </c>
      <c r="J117" s="63">
        <v>41091</v>
      </c>
      <c r="K117" s="63">
        <v>41122</v>
      </c>
      <c r="L117" s="63">
        <v>41153</v>
      </c>
      <c r="M117" s="63">
        <v>41183</v>
      </c>
      <c r="N117" s="63">
        <v>41214</v>
      </c>
      <c r="O117" s="63">
        <v>41244</v>
      </c>
      <c r="P117" s="63">
        <v>41275</v>
      </c>
      <c r="Q117" s="63">
        <v>41306</v>
      </c>
      <c r="R117" s="63">
        <v>41334</v>
      </c>
      <c r="S117" s="156">
        <f>SUM(Input!G50:R50)</f>
        <v>548718</v>
      </c>
      <c r="T117" s="146"/>
      <c r="U117" s="131"/>
      <c r="V117" s="132"/>
    </row>
    <row r="118" spans="1:22" x14ac:dyDescent="0.25">
      <c r="A118" s="127">
        <v>38322</v>
      </c>
      <c r="B118" s="186">
        <f>Input!O$34</f>
        <v>0</v>
      </c>
      <c r="D118" s="129"/>
      <c r="E118" s="130"/>
      <c r="F118" s="51" t="s">
        <v>110</v>
      </c>
      <c r="G118" s="54">
        <f>IF(Input!G50=0,0,INT((Input!G50*8.33/100)+0.5))</f>
        <v>3574</v>
      </c>
      <c r="H118" s="54">
        <f>IF(Input!H50=0,0,INT((Input!H50*8.33/100)+0.5))</f>
        <v>3574</v>
      </c>
      <c r="I118" s="54">
        <f>IF(Input!I50=0,0,INT((Input!I50*8.33/100)+0.5))</f>
        <v>4028</v>
      </c>
      <c r="J118" s="54">
        <f>IF(Input!J50=0,0,INT((Input!J50*8.33/100)+0.5))</f>
        <v>3681</v>
      </c>
      <c r="K118" s="54">
        <f>IF(Input!K50=0,0,INT((Input!K50*8.33/100)+0.5))</f>
        <v>3681</v>
      </c>
      <c r="L118" s="54">
        <f>IF(Input!L50=0,0,INT((Input!L50*8.33/100)+0.5))</f>
        <v>3681</v>
      </c>
      <c r="M118" s="54">
        <f>IF(Input!M50=0,0,INT((Input!M50*8.33/100)+0.5))</f>
        <v>3837</v>
      </c>
      <c r="N118" s="54">
        <f>IF(Input!N50=0,0,INT((Input!N50*8.33/100)+0.5))</f>
        <v>4306</v>
      </c>
      <c r="O118" s="54">
        <f>IF(Input!O50=0,0,INT((Input!O50*8.33/100)+0.5))</f>
        <v>3837</v>
      </c>
      <c r="P118" s="54">
        <f>IF(Input!P50=0,0,INT((Input!P50*8.33/100)+0.5))</f>
        <v>3837</v>
      </c>
      <c r="Q118" s="54">
        <f>IF(Input!Q50=0,0,INT((Input!Q50*8.33/100)+0.5))</f>
        <v>3837</v>
      </c>
      <c r="R118" s="54">
        <f>IF(Input!R50=0,0,INT((Input!R50*8.33/100)+0.5))</f>
        <v>3837</v>
      </c>
      <c r="S118" s="55">
        <f>SUM(G118:R118)</f>
        <v>45710</v>
      </c>
      <c r="T118" s="146"/>
      <c r="U118" s="131"/>
      <c r="V118" s="132"/>
    </row>
    <row r="119" spans="1:22" ht="30" x14ac:dyDescent="0.25">
      <c r="A119" s="127">
        <v>38353</v>
      </c>
      <c r="B119" s="186">
        <f>Input!P$34</f>
        <v>0</v>
      </c>
      <c r="D119" s="129"/>
      <c r="E119" s="130"/>
      <c r="F119" s="51" t="s">
        <v>112</v>
      </c>
      <c r="G119" s="54">
        <f>IF(Input!G50&lt;=$P$7,INT((Input!G50*8.33%)+0.5),INT(($P$7*8.33%)+0.5))</f>
        <v>541</v>
      </c>
      <c r="H119" s="54">
        <f>IF(Input!H50&lt;=$P$7,INT((Input!H50*8.33%)+0.5),INT(($P$7*8.33%)+0.5))</f>
        <v>541</v>
      </c>
      <c r="I119" s="54">
        <f>IF(Input!I50&lt;=$P$7,INT((Input!I50*8.33%)+0.5),INT(($P$7*8.33%)+0.5))</f>
        <v>541</v>
      </c>
      <c r="J119" s="54">
        <f>IF(Input!J50&lt;=$P$7,INT((Input!J50*8.33%)+0.5),INT(($P$7*8.33%)+0.5))</f>
        <v>541</v>
      </c>
      <c r="K119" s="54">
        <f>IF(Input!K50&lt;=$P$7,INT((Input!K50*8.33%)+0.5),INT(($P$7*8.33%)+0.5))</f>
        <v>541</v>
      </c>
      <c r="L119" s="54">
        <f>IF(Input!L50&lt;=$P$7,INT((Input!L50*8.33%)+0.5),INT(($P$7*8.33%)+0.5))</f>
        <v>541</v>
      </c>
      <c r="M119" s="54">
        <f>IF(Input!M50&lt;=$P$7,INT((Input!M50*8.33%)+0.5),INT(($P$7*8.33%)+0.5))</f>
        <v>541</v>
      </c>
      <c r="N119" s="54">
        <f>IF(Input!N50&lt;=$P$7,INT((Input!N50*8.33%)+0.5),INT(($P$7*8.33%)+0.5))</f>
        <v>541</v>
      </c>
      <c r="O119" s="54">
        <f>IF(Input!O50&lt;=$P$7,INT((Input!O50*8.33%)+0.5),INT(($P$7*8.33%)+0.5))</f>
        <v>541</v>
      </c>
      <c r="P119" s="54">
        <f>IF(Input!P50&lt;=$P$7,INT((Input!P50*8.33%)+0.5),INT(($P$7*8.33%)+0.5))</f>
        <v>541</v>
      </c>
      <c r="Q119" s="54">
        <f>IF(Input!Q50&lt;=$P$7,INT((Input!Q50*8.33%)+0.5),INT(($P$7*8.33%)+0.5))</f>
        <v>541</v>
      </c>
      <c r="R119" s="54">
        <f>IF(Input!R50&lt;=$P$7,INT((Input!R50*8.33%)+0.5),INT(($P$7*8.33%)+0.5))</f>
        <v>541</v>
      </c>
      <c r="S119" s="55">
        <f t="shared" ref="S119:S122" si="43">SUM(G119:R119)</f>
        <v>6492</v>
      </c>
      <c r="T119" s="146"/>
      <c r="U119" s="131"/>
      <c r="V119" s="132"/>
    </row>
    <row r="120" spans="1:22" ht="30" x14ac:dyDescent="0.25">
      <c r="A120" s="127">
        <v>38384</v>
      </c>
      <c r="B120" s="186">
        <f>Input!Q$34</f>
        <v>0</v>
      </c>
      <c r="D120" s="129"/>
      <c r="E120" s="130"/>
      <c r="F120" s="51" t="s">
        <v>113</v>
      </c>
      <c r="G120" s="55">
        <f t="shared" ref="G120:R120" si="44">IF(G118-G119&lt;=0,0,G118-G119)</f>
        <v>3033</v>
      </c>
      <c r="H120" s="55">
        <f t="shared" si="44"/>
        <v>3033</v>
      </c>
      <c r="I120" s="55">
        <f t="shared" si="44"/>
        <v>3487</v>
      </c>
      <c r="J120" s="55">
        <f t="shared" si="44"/>
        <v>3140</v>
      </c>
      <c r="K120" s="55">
        <f t="shared" si="44"/>
        <v>3140</v>
      </c>
      <c r="L120" s="55">
        <f t="shared" si="44"/>
        <v>3140</v>
      </c>
      <c r="M120" s="55">
        <f t="shared" si="44"/>
        <v>3296</v>
      </c>
      <c r="N120" s="55">
        <f t="shared" si="44"/>
        <v>3765</v>
      </c>
      <c r="O120" s="55">
        <f t="shared" si="44"/>
        <v>3296</v>
      </c>
      <c r="P120" s="55">
        <f t="shared" si="44"/>
        <v>3296</v>
      </c>
      <c r="Q120" s="55">
        <f t="shared" si="44"/>
        <v>3296</v>
      </c>
      <c r="R120" s="55">
        <f t="shared" si="44"/>
        <v>3296</v>
      </c>
      <c r="S120" s="55">
        <f t="shared" si="43"/>
        <v>39218</v>
      </c>
      <c r="T120" s="146"/>
      <c r="U120" s="131"/>
      <c r="V120" s="132"/>
    </row>
    <row r="121" spans="1:22" x14ac:dyDescent="0.25">
      <c r="A121" s="127">
        <v>38412</v>
      </c>
      <c r="B121" s="186">
        <f>Input!R$34</f>
        <v>0</v>
      </c>
      <c r="D121" s="129"/>
      <c r="E121" s="130" t="s">
        <v>114</v>
      </c>
      <c r="F121" s="51" t="s">
        <v>115</v>
      </c>
      <c r="G121" s="56">
        <f>IF(G117=0,0,IF($T$11&lt;=Input!G49,0,R114+R115+U115))</f>
        <v>118041.48792558334</v>
      </c>
      <c r="H121" s="56">
        <f>IF(H117=0,0,IF($T$11&lt;=Input!H49,0,G120+G121))</f>
        <v>121074.48792558334</v>
      </c>
      <c r="I121" s="56">
        <f>IF(I117=0,0,IF($T$11&lt;=Input!I49,0,H120+H121))</f>
        <v>124107.48792558334</v>
      </c>
      <c r="J121" s="56">
        <f>IF(J117=0,0,IF($T$11&lt;=Input!J49,0,I120+I121))</f>
        <v>127594.48792558334</v>
      </c>
      <c r="K121" s="56">
        <f>IF(K117=0,0,IF($T$11&lt;=Input!K49,0,J120+J121))</f>
        <v>130734.48792558334</v>
      </c>
      <c r="L121" s="56">
        <f>IF(L117=0,0,IF($T$11&lt;=Input!L49,0,K120+K121))</f>
        <v>133874.48792558332</v>
      </c>
      <c r="M121" s="56">
        <f>IF(M117=0,0,IF($T$11&lt;=Input!M49,0,L120+L121))</f>
        <v>137014.48792558332</v>
      </c>
      <c r="N121" s="56">
        <f>IF(N117=0,0,IF($T$11&lt;=Input!N49,0,M120+M121))</f>
        <v>140310.48792558332</v>
      </c>
      <c r="O121" s="56">
        <f>IF(O117=0,0,IF($T$11&lt;=Input!O49,0,N120+N121))</f>
        <v>144075.48792558332</v>
      </c>
      <c r="P121" s="56">
        <f>IF(P117=0,0,IF($T$11&lt;=Input!P49,0,O120+O121))</f>
        <v>147371.48792558332</v>
      </c>
      <c r="Q121" s="56">
        <f>IF(Q117=0,0,IF($T$11&lt;=Input!Q49,0,P120+P121))</f>
        <v>150667.48792558332</v>
      </c>
      <c r="R121" s="56">
        <f>IF(R117=0,0,IF($T$11&lt;=Input!R49,0,Q120+Q121))</f>
        <v>153963.48792558332</v>
      </c>
      <c r="S121" s="55"/>
      <c r="T121" s="106">
        <f>SUM(G120:R120)</f>
        <v>39218</v>
      </c>
      <c r="U121" s="55">
        <f>SUM(G122:R122)</f>
        <v>11537.544807007918</v>
      </c>
      <c r="V121" s="108">
        <f>SUM(T121,U121)</f>
        <v>50755.544807007915</v>
      </c>
    </row>
    <row r="122" spans="1:22" x14ac:dyDescent="0.25">
      <c r="A122" s="127">
        <v>38443</v>
      </c>
      <c r="B122" s="186">
        <f>Input!G$36</f>
        <v>0</v>
      </c>
      <c r="D122" s="129"/>
      <c r="E122" s="58">
        <v>8.5000000000000006E-2</v>
      </c>
      <c r="F122" s="59" t="s">
        <v>116</v>
      </c>
      <c r="G122" s="64">
        <f t="shared" ref="G122:R122" si="45">G121/12*$E122</f>
        <v>836.12720613954866</v>
      </c>
      <c r="H122" s="55">
        <f t="shared" si="45"/>
        <v>857.61095613954865</v>
      </c>
      <c r="I122" s="55">
        <f t="shared" si="45"/>
        <v>879.09470613954875</v>
      </c>
      <c r="J122" s="55">
        <f t="shared" si="45"/>
        <v>903.79428947288204</v>
      </c>
      <c r="K122" s="55">
        <f t="shared" si="45"/>
        <v>926.03595613954872</v>
      </c>
      <c r="L122" s="55">
        <f t="shared" si="45"/>
        <v>948.27762280621528</v>
      </c>
      <c r="M122" s="55">
        <f t="shared" si="45"/>
        <v>970.51928947288195</v>
      </c>
      <c r="N122" s="55">
        <f t="shared" si="45"/>
        <v>993.86595613954853</v>
      </c>
      <c r="O122" s="55">
        <f t="shared" si="45"/>
        <v>1020.5347061395486</v>
      </c>
      <c r="P122" s="55">
        <f t="shared" si="45"/>
        <v>1043.8813728062153</v>
      </c>
      <c r="Q122" s="55">
        <f t="shared" si="45"/>
        <v>1067.2280394728818</v>
      </c>
      <c r="R122" s="55">
        <f t="shared" si="45"/>
        <v>1090.5747061395487</v>
      </c>
      <c r="S122" s="55">
        <f t="shared" si="43"/>
        <v>11537.544807007918</v>
      </c>
      <c r="T122" s="107">
        <f>SUM(T19,T25,T31,T37,T43,T49,T55,T61,T67,T73,T79,T85,T91,T97,T103,T109,T115,T121)</f>
        <v>142488</v>
      </c>
      <c r="U122" s="62">
        <f>SUM(U19,U25,U31,U37,U43,U49,U55,U61,U67,U73,U79,U85,U91,U97,U103,U109,U115,U121)</f>
        <v>26309.032732591255</v>
      </c>
      <c r="V122" s="109">
        <f>SUM(V19,V25,V31,V37,V43,V49,V55,V61,V67,V73,V79,V85,V91,V97,V103,V109,V115,V121)</f>
        <v>168797.03273259124</v>
      </c>
    </row>
    <row r="123" spans="1:22" x14ac:dyDescent="0.25">
      <c r="A123" s="127">
        <v>38473</v>
      </c>
      <c r="B123" s="186">
        <f>Input!H$36</f>
        <v>0</v>
      </c>
      <c r="D123" s="129">
        <v>19</v>
      </c>
      <c r="E123" s="130" t="s">
        <v>134</v>
      </c>
      <c r="F123" s="47" t="s">
        <v>109</v>
      </c>
      <c r="G123" s="63">
        <v>41365</v>
      </c>
      <c r="H123" s="63">
        <v>41395</v>
      </c>
      <c r="I123" s="63">
        <v>41426</v>
      </c>
      <c r="J123" s="63">
        <v>41456</v>
      </c>
      <c r="K123" s="63">
        <v>41487</v>
      </c>
      <c r="L123" s="63">
        <v>41518</v>
      </c>
      <c r="M123" s="63">
        <v>41548</v>
      </c>
      <c r="N123" s="63">
        <v>41579</v>
      </c>
      <c r="O123" s="63">
        <v>41609</v>
      </c>
      <c r="P123" s="63">
        <v>41640</v>
      </c>
      <c r="Q123" s="63">
        <v>41671</v>
      </c>
      <c r="R123" s="63">
        <v>41699</v>
      </c>
      <c r="S123" s="156">
        <f>SUM(Input!G52:R52)</f>
        <v>622827</v>
      </c>
      <c r="T123" s="146"/>
      <c r="U123" s="131"/>
      <c r="V123" s="132"/>
    </row>
    <row r="124" spans="1:22" x14ac:dyDescent="0.25">
      <c r="A124" s="127">
        <v>38504</v>
      </c>
      <c r="B124" s="186">
        <f>Input!I$36</f>
        <v>0</v>
      </c>
      <c r="D124" s="129"/>
      <c r="E124" s="130"/>
      <c r="F124" s="51" t="s">
        <v>110</v>
      </c>
      <c r="G124" s="54">
        <f>IF(Input!G52=0,0,INT((Input!G52*8.33/100)+0.5))</f>
        <v>3837</v>
      </c>
      <c r="H124" s="54">
        <f>IF(Input!H52=0,0,INT((Input!H52*8.33/100)+0.5))</f>
        <v>4729</v>
      </c>
      <c r="I124" s="54">
        <f>IF(Input!I52=0,0,INT((Input!I52*8.33/100)+0.5))</f>
        <v>4015</v>
      </c>
      <c r="J124" s="54">
        <f>IF(Input!J52=0,0,INT((Input!J52*8.33/100)+0.5))</f>
        <v>4137</v>
      </c>
      <c r="K124" s="54">
        <f>IF(Input!K52=0,0,INT((Input!K52*8.33/100)+0.5))</f>
        <v>4137</v>
      </c>
      <c r="L124" s="54">
        <f>IF(Input!L52=0,0,INT((Input!L52*8.33/100)+0.5))</f>
        <v>4826</v>
      </c>
      <c r="M124" s="54">
        <f>IF(Input!M52=0,0,INT((Input!M52*8.33/100)+0.5))</f>
        <v>4367</v>
      </c>
      <c r="N124" s="54">
        <f>IF(Input!N52=0,0,INT((Input!N52*8.33/100)+0.5))</f>
        <v>4367</v>
      </c>
      <c r="O124" s="54">
        <f>IF(Input!O52=0,0,INT((Input!O52*8.33/100)+0.5))</f>
        <v>4367</v>
      </c>
      <c r="P124" s="54">
        <f>IF(Input!P52=0,0,INT((Input!P52*8.33/100)+0.5))</f>
        <v>4367</v>
      </c>
      <c r="Q124" s="54">
        <f>IF(Input!Q52=0,0,INT((Input!Q52*8.33/100)+0.5))</f>
        <v>4367</v>
      </c>
      <c r="R124" s="54">
        <f>IF(Input!R52=0,0,INT((Input!R52*8.33/100)+0.5))</f>
        <v>4367</v>
      </c>
      <c r="S124" s="55">
        <f>SUM(G124:R124)</f>
        <v>51883</v>
      </c>
      <c r="T124" s="146"/>
      <c r="U124" s="131"/>
      <c r="V124" s="132"/>
    </row>
    <row r="125" spans="1:22" ht="30" x14ac:dyDescent="0.25">
      <c r="A125" s="127">
        <v>38534</v>
      </c>
      <c r="B125" s="186">
        <f>Input!J$36</f>
        <v>0</v>
      </c>
      <c r="D125" s="129"/>
      <c r="E125" s="130"/>
      <c r="F125" s="51" t="s">
        <v>112</v>
      </c>
      <c r="G125" s="54">
        <f>IF(Input!G52&lt;=$P$7,INT((Input!G52*8.33%)+0.5),INT(($P$7*8.33%)+0.5))</f>
        <v>541</v>
      </c>
      <c r="H125" s="54">
        <f>IF(Input!H52&lt;=$P$7,INT((Input!H52*8.33%)+0.5),INT(($P$7*8.33%)+0.5))</f>
        <v>541</v>
      </c>
      <c r="I125" s="54">
        <f>IF(Input!I52&lt;=$P$7,INT((Input!I52*8.33%)+0.5),INT(($P$7*8.33%)+0.5))</f>
        <v>541</v>
      </c>
      <c r="J125" s="54">
        <f>IF(Input!J52&lt;=$P$7,INT((Input!J52*8.33%)+0.5),INT(($P$7*8.33%)+0.5))</f>
        <v>541</v>
      </c>
      <c r="K125" s="54">
        <f>IF(Input!K52&lt;=$P$7,INT((Input!K52*8.33%)+0.5),INT(($P$7*8.33%)+0.5))</f>
        <v>541</v>
      </c>
      <c r="L125" s="54">
        <f>IF(Input!L52&lt;=$P$7,INT((Input!L52*8.33%)+0.5),INT(($P$7*8.33%)+0.5))</f>
        <v>541</v>
      </c>
      <c r="M125" s="54">
        <f>IF(Input!M52&lt;=$P$7,INT((Input!M52*8.33%)+0.5),INT(($P$7*8.33%)+0.5))</f>
        <v>541</v>
      </c>
      <c r="N125" s="54">
        <f>IF(Input!N52&lt;=$P$7,INT((Input!N52*8.33%)+0.5),INT(($P$7*8.33%)+0.5))</f>
        <v>541</v>
      </c>
      <c r="O125" s="54">
        <f>IF(Input!O52&lt;=$P$7,INT((Input!O52*8.33%)+0.5),INT(($P$7*8.33%)+0.5))</f>
        <v>541</v>
      </c>
      <c r="P125" s="54">
        <f>IF(Input!P52&lt;=$P$7,INT((Input!P52*8.33%)+0.5),INT(($P$7*8.33%)+0.5))</f>
        <v>541</v>
      </c>
      <c r="Q125" s="54">
        <f>IF(Input!Q52&lt;=$P$7,INT((Input!Q52*8.33%)+0.5),INT(($P$7*8.33%)+0.5))</f>
        <v>541</v>
      </c>
      <c r="R125" s="54">
        <f>IF(Input!R52&lt;=$P$7,INT((Input!R52*8.33%)+0.5),INT(($P$7*8.33%)+0.5))</f>
        <v>541</v>
      </c>
      <c r="S125" s="55">
        <f t="shared" ref="S125:S128" si="46">SUM(G125:R125)</f>
        <v>6492</v>
      </c>
      <c r="T125" s="146"/>
      <c r="U125" s="131"/>
      <c r="V125" s="132"/>
    </row>
    <row r="126" spans="1:22" ht="30" x14ac:dyDescent="0.25">
      <c r="A126" s="127">
        <v>38565</v>
      </c>
      <c r="B126" s="186">
        <f>Input!K$36</f>
        <v>0</v>
      </c>
      <c r="D126" s="129"/>
      <c r="E126" s="130"/>
      <c r="F126" s="51" t="s">
        <v>113</v>
      </c>
      <c r="G126" s="55">
        <f t="shared" ref="G126:R126" si="47">IF(G124-G125&lt;=0,0,G124-G125)</f>
        <v>3296</v>
      </c>
      <c r="H126" s="55">
        <f t="shared" si="47"/>
        <v>4188</v>
      </c>
      <c r="I126" s="55">
        <f t="shared" si="47"/>
        <v>3474</v>
      </c>
      <c r="J126" s="55">
        <f t="shared" si="47"/>
        <v>3596</v>
      </c>
      <c r="K126" s="55">
        <f t="shared" si="47"/>
        <v>3596</v>
      </c>
      <c r="L126" s="55">
        <f t="shared" si="47"/>
        <v>4285</v>
      </c>
      <c r="M126" s="55">
        <f t="shared" si="47"/>
        <v>3826</v>
      </c>
      <c r="N126" s="55">
        <f t="shared" si="47"/>
        <v>3826</v>
      </c>
      <c r="O126" s="55">
        <f t="shared" si="47"/>
        <v>3826</v>
      </c>
      <c r="P126" s="55">
        <f t="shared" si="47"/>
        <v>3826</v>
      </c>
      <c r="Q126" s="55">
        <f t="shared" si="47"/>
        <v>3826</v>
      </c>
      <c r="R126" s="55">
        <f t="shared" si="47"/>
        <v>3826</v>
      </c>
      <c r="S126" s="55">
        <f t="shared" si="46"/>
        <v>45391</v>
      </c>
      <c r="T126" s="146"/>
      <c r="U126" s="131"/>
      <c r="V126" s="132"/>
    </row>
    <row r="127" spans="1:22" x14ac:dyDescent="0.25">
      <c r="A127" s="127">
        <v>38596</v>
      </c>
      <c r="B127" s="186">
        <f>Input!L$36</f>
        <v>0</v>
      </c>
      <c r="D127" s="129"/>
      <c r="E127" s="130" t="s">
        <v>114</v>
      </c>
      <c r="F127" s="51" t="s">
        <v>115</v>
      </c>
      <c r="G127" s="56">
        <f>IF(G123=0,0,IF($T$11&lt;=Input!G51,0,R120+R121+U121))</f>
        <v>168797.03273259124</v>
      </c>
      <c r="H127" s="56">
        <f>IF(H123=0,0,IF($T$11&lt;=Input!H51,0,G126+G127))</f>
        <v>172093.03273259124</v>
      </c>
      <c r="I127" s="56">
        <f>IF(I123=0,0,IF($T$11&lt;=Input!I51,0,H126+H127))</f>
        <v>176281.03273259124</v>
      </c>
      <c r="J127" s="56">
        <f>IF(J123=0,0,IF($T$11&lt;=Input!J51,0,I126+I127))</f>
        <v>179755.03273259124</v>
      </c>
      <c r="K127" s="56">
        <f>IF(K123=0,0,IF($T$11&lt;=Input!K51,0,J126+J127))</f>
        <v>183351.03273259124</v>
      </c>
      <c r="L127" s="56">
        <f>IF(L123=0,0,IF($T$11&lt;=Input!L51,0,K126+K127))</f>
        <v>186947.03273259124</v>
      </c>
      <c r="M127" s="56">
        <f>IF(M123=0,0,IF($T$11&lt;=Input!M51,0,L126+L127))</f>
        <v>191232.03273259124</v>
      </c>
      <c r="N127" s="56">
        <f>IF(N123=0,0,IF($T$11&lt;=Input!N51,0,M126+M127))</f>
        <v>195058.03273259124</v>
      </c>
      <c r="O127" s="56">
        <f>IF(O123=0,0,IF($T$11&lt;=Input!O51,0,N126+N127))</f>
        <v>198884.03273259124</v>
      </c>
      <c r="P127" s="56">
        <f>IF(P123=0,0,IF($T$11&lt;=Input!P51,0,O126+O127))</f>
        <v>202710.03273259124</v>
      </c>
      <c r="Q127" s="56">
        <f>IF(Q123=0,0,IF($T$11&lt;=Input!Q51,0,P126+P127))</f>
        <v>206536.03273259124</v>
      </c>
      <c r="R127" s="56">
        <f>IF(R123=0,0,IF($T$11&lt;=Input!R51,0,Q126+Q127))</f>
        <v>210362.03273259124</v>
      </c>
      <c r="S127" s="55"/>
      <c r="T127" s="106">
        <f>SUM(G126:R126)</f>
        <v>45391</v>
      </c>
      <c r="U127" s="55">
        <f>SUM(G128:R128)</f>
        <v>16566.713280768396</v>
      </c>
      <c r="V127" s="108">
        <f>SUM(T127,U127)</f>
        <v>61957.713280768396</v>
      </c>
    </row>
    <row r="128" spans="1:22" x14ac:dyDescent="0.25">
      <c r="A128" s="127">
        <v>38626</v>
      </c>
      <c r="B128" s="186">
        <f>Input!M$36</f>
        <v>0</v>
      </c>
      <c r="D128" s="129"/>
      <c r="E128" s="58">
        <v>8.7499999999999994E-2</v>
      </c>
      <c r="F128" s="59" t="s">
        <v>116</v>
      </c>
      <c r="G128" s="64">
        <f t="shared" ref="G128:R128" si="48">G127/12*$E128</f>
        <v>1230.8116970084777</v>
      </c>
      <c r="H128" s="55">
        <f t="shared" si="48"/>
        <v>1254.845030341811</v>
      </c>
      <c r="I128" s="55">
        <f t="shared" si="48"/>
        <v>1285.3825303418109</v>
      </c>
      <c r="J128" s="55">
        <f t="shared" si="48"/>
        <v>1310.7137803418109</v>
      </c>
      <c r="K128" s="55">
        <f t="shared" si="48"/>
        <v>1336.9346136751444</v>
      </c>
      <c r="L128" s="55">
        <f t="shared" si="48"/>
        <v>1363.1554470084777</v>
      </c>
      <c r="M128" s="55">
        <f t="shared" si="48"/>
        <v>1394.4002386751445</v>
      </c>
      <c r="N128" s="55">
        <f t="shared" si="48"/>
        <v>1422.298155341811</v>
      </c>
      <c r="O128" s="56">
        <f t="shared" si="48"/>
        <v>1450.1960720084776</v>
      </c>
      <c r="P128" s="55">
        <f t="shared" si="48"/>
        <v>1478.0939886751441</v>
      </c>
      <c r="Q128" s="55">
        <f t="shared" si="48"/>
        <v>1505.9919053418112</v>
      </c>
      <c r="R128" s="55">
        <f t="shared" si="48"/>
        <v>1533.8898220084777</v>
      </c>
      <c r="S128" s="55">
        <f t="shared" si="46"/>
        <v>16566.713280768396</v>
      </c>
      <c r="T128" s="107">
        <f>SUM(T19,T25,T31,T37,T43,T49,T55,T61,T67,T73,T79,T85,T91,T97,T103,T109,T115,T121,T127)</f>
        <v>187879</v>
      </c>
      <c r="U128" s="62">
        <f>SUM(U19,U25,U31,U37,U43,U49,U55,U61,U67,U73,U79,U85,U91,U97,U103,U109,U115,U121,U127)</f>
        <v>42875.746013359647</v>
      </c>
      <c r="V128" s="109">
        <f>SUM(V19,V25,V31,V37,V43,V49,V55,V61,V67,V73,V79,V85,V91,V97,V103,V109,V115,V121,V127)</f>
        <v>230754.74601335963</v>
      </c>
    </row>
    <row r="129" spans="1:22" x14ac:dyDescent="0.25">
      <c r="A129" s="127">
        <v>38657</v>
      </c>
      <c r="B129" s="186">
        <f>Input!N$36</f>
        <v>0</v>
      </c>
      <c r="D129" s="135">
        <v>20</v>
      </c>
      <c r="E129" s="129" t="s">
        <v>135</v>
      </c>
      <c r="F129" s="47" t="s">
        <v>109</v>
      </c>
      <c r="G129" s="63">
        <v>41730</v>
      </c>
      <c r="H129" s="63">
        <v>41760</v>
      </c>
      <c r="I129" s="63">
        <v>41791</v>
      </c>
      <c r="J129" s="63">
        <v>41821</v>
      </c>
      <c r="K129" s="72">
        <v>41852</v>
      </c>
      <c r="L129" s="72">
        <v>41883</v>
      </c>
      <c r="M129" s="95">
        <v>41913</v>
      </c>
      <c r="N129" s="63">
        <v>41944</v>
      </c>
      <c r="O129" s="63">
        <v>41974</v>
      </c>
      <c r="P129" s="63">
        <v>42005</v>
      </c>
      <c r="Q129" s="63">
        <v>42036</v>
      </c>
      <c r="R129" s="63">
        <v>42064</v>
      </c>
      <c r="S129" s="156">
        <f>SUM(Input!G54:R54)</f>
        <v>678066</v>
      </c>
      <c r="T129" s="147"/>
      <c r="U129" s="137"/>
      <c r="V129" s="138"/>
    </row>
    <row r="130" spans="1:22" x14ac:dyDescent="0.25">
      <c r="A130" s="127">
        <v>38687</v>
      </c>
      <c r="B130" s="186">
        <f>Input!O$36</f>
        <v>0</v>
      </c>
      <c r="D130" s="136"/>
      <c r="E130" s="129"/>
      <c r="F130" s="51" t="s">
        <v>110</v>
      </c>
      <c r="G130" s="54">
        <f>IF(Input!G54=0,0,INT((Input!G54*8.33/100)+0.5))</f>
        <v>5286</v>
      </c>
      <c r="H130" s="54">
        <f>IF(Input!H54=0,0,INT((Input!H54*8.33/100)+0.5))</f>
        <v>4596</v>
      </c>
      <c r="I130" s="54">
        <f>IF(Input!I54=0,0,INT((Input!I54*8.33/100)+0.5))</f>
        <v>4596</v>
      </c>
      <c r="J130" s="54">
        <f>IF(Input!J54=0,0,INT((Input!J54*8.33/100)+0.5))</f>
        <v>4735</v>
      </c>
      <c r="K130" s="54">
        <f>IF(Input!K54=0,0,INT((Input!K54*8.33/100)+0.5))</f>
        <v>4735</v>
      </c>
      <c r="L130" s="54">
        <f>IF(Input!L54=0,0,INT((Input!L54*8.33/100)+0.5))</f>
        <v>4900</v>
      </c>
      <c r="M130" s="96">
        <f>IF(Input!M54=0,0,INT((Input!M54*8.33/100)+0.5))</f>
        <v>4900</v>
      </c>
      <c r="N130" s="54">
        <f>IF(Input!N54=0,0,INT((Input!N54*8.33/100)+0.5))</f>
        <v>5232</v>
      </c>
      <c r="O130" s="54">
        <f>IF(Input!O54=0,0,INT((Input!O54*8.33/100)+0.5))</f>
        <v>4900</v>
      </c>
      <c r="P130" s="54">
        <f>IF(Input!P54=0,0,INT((Input!P54*8.33/100)+0.5))</f>
        <v>4900</v>
      </c>
      <c r="Q130" s="54">
        <f>IF(Input!Q54=0,0,INT((Input!Q54*8.33/100)+0.5))</f>
        <v>2450</v>
      </c>
      <c r="R130" s="54">
        <f>IF(Input!R54=0,0,INT((Input!R54*8.33/100)+0.5))</f>
        <v>5250</v>
      </c>
      <c r="S130" s="56">
        <f>IF(S129=0,0,S129*8.33/100)</f>
        <v>56482.897800000006</v>
      </c>
      <c r="T130" s="147"/>
      <c r="U130" s="137"/>
      <c r="V130" s="138"/>
    </row>
    <row r="131" spans="1:22" ht="30" x14ac:dyDescent="0.25">
      <c r="A131" s="127">
        <v>38718</v>
      </c>
      <c r="B131" s="186">
        <f>Input!P$36</f>
        <v>0</v>
      </c>
      <c r="D131" s="136"/>
      <c r="E131" s="129"/>
      <c r="F131" s="51" t="s">
        <v>112</v>
      </c>
      <c r="G131" s="54">
        <f>IF(Input!G54&lt;=$P$7,INT((Input!G54*8.33%)+0.5),INT(($P$7*8.33%)+0.5))</f>
        <v>541</v>
      </c>
      <c r="H131" s="54">
        <f>IF(Input!H54&lt;=$P$7,INT((Input!H54*8.33%)+0.5),INT(($P$7*8.33%)+0.5))</f>
        <v>541</v>
      </c>
      <c r="I131" s="54">
        <f>IF(Input!I54&lt;=$P$7,INT((Input!I54*8.33%)+0.5),INT(($P$7*8.33%)+0.5))</f>
        <v>541</v>
      </c>
      <c r="J131" s="54">
        <f>IF(Input!J54&lt;=$P$7,INT((Input!J54*8.33%)+0.5),INT(($P$7*8.33%)+0.5))</f>
        <v>541</v>
      </c>
      <c r="K131" s="54">
        <f>IF(Input!K54&lt;=$P$7,INT((Input!K54*8.33%)+0.5),INT(($P$7*8.33%)+0.5))</f>
        <v>541</v>
      </c>
      <c r="L131" s="54">
        <f>IF(Input!L54&lt;=$P$7,INT((Input!L54*8.33%)+0.5),INT(($P$7*8.33%)+0.5))</f>
        <v>541</v>
      </c>
      <c r="M131" s="96">
        <f>IF(Input!M54&lt;=$U$7,INT((Input!M54*8.33%)+0.5),INT(($U$7*8.33%)+0.5))</f>
        <v>1250</v>
      </c>
      <c r="N131" s="54">
        <f>IF(Input!N54&lt;=$U$7,INT((Input!N54*8.33%)+0.5),INT(($U$7*8.33%)+0.5))</f>
        <v>1250</v>
      </c>
      <c r="O131" s="54">
        <f>IF(Input!O54&lt;=$U$7,INT((Input!O54*8.33%)+0.5),INT(($U$7*8.33%)+0.5))</f>
        <v>1250</v>
      </c>
      <c r="P131" s="54">
        <f>IF(Input!P54&lt;=$U$7,INT((Input!P54*8.33%)+0.5),INT(($U$7*8.33%)+0.5))</f>
        <v>1250</v>
      </c>
      <c r="Q131" s="54">
        <f>IF(Input!Q54&lt;=$U$7,INT((Input!Q54*8.33%)+0.5),INT(($U$7*8.33%)+0.5))</f>
        <v>1250</v>
      </c>
      <c r="R131" s="54">
        <f>IF(Input!R54&lt;=$U$7,INT((Input!R54*8.33%)+0.5),INT(($U$7*8.33%)+0.5))</f>
        <v>1250</v>
      </c>
      <c r="S131" s="56">
        <f>IF(S129=0,0,$U$7*8.33%)</f>
        <v>1249.5</v>
      </c>
      <c r="T131" s="147"/>
      <c r="U131" s="137"/>
      <c r="V131" s="138"/>
    </row>
    <row r="132" spans="1:22" ht="45" x14ac:dyDescent="0.25">
      <c r="A132" s="127">
        <v>38749</v>
      </c>
      <c r="B132" s="186">
        <f>Input!Q$36</f>
        <v>0</v>
      </c>
      <c r="D132" s="136"/>
      <c r="E132" s="129"/>
      <c r="F132" s="101" t="s">
        <v>208</v>
      </c>
      <c r="G132" s="100"/>
      <c r="H132" s="100"/>
      <c r="I132" s="100"/>
      <c r="J132" s="100"/>
      <c r="K132" s="100"/>
      <c r="L132" s="100"/>
      <c r="M132" s="100">
        <f>IF(Input!M54&lt;=$U$7,0,INT(((Input!M54-$U$7)*1.16%)+0.5))</f>
        <v>508</v>
      </c>
      <c r="N132" s="100">
        <f>IF(Input!N54&lt;=$U$7,0,INT(((Input!N54-$U$7)*1.16%)+0.5))</f>
        <v>555</v>
      </c>
      <c r="O132" s="100">
        <f>IF(Input!O54&lt;=$U$7,0,INT(((Input!O54-$U$7)*1.16%)+0.5))</f>
        <v>508</v>
      </c>
      <c r="P132" s="100">
        <f>IF(Input!P54&lt;=$U$7,0,INT(((Input!P54-$U$7)*1.16%)+0.5))</f>
        <v>508</v>
      </c>
      <c r="Q132" s="100">
        <f>IF(Input!Q54&lt;=$U$7,0,INT(((Input!Q54-$U$7)*1.16%)+0.5))</f>
        <v>167</v>
      </c>
      <c r="R132" s="100">
        <f>IF(Input!R54&lt;=$U$7,0,INT(((Input!R54-$U$7)*1.16%)+0.5))</f>
        <v>557</v>
      </c>
      <c r="S132" s="102">
        <f>SUM(M132:R132)</f>
        <v>2803</v>
      </c>
      <c r="T132" s="147"/>
      <c r="U132" s="137"/>
      <c r="V132" s="138"/>
    </row>
    <row r="133" spans="1:22" ht="30" x14ac:dyDescent="0.25">
      <c r="A133" s="127">
        <v>38777</v>
      </c>
      <c r="B133" s="186">
        <f>Input!R$36</f>
        <v>0</v>
      </c>
      <c r="D133" s="136"/>
      <c r="E133" s="129"/>
      <c r="F133" s="51" t="s">
        <v>113</v>
      </c>
      <c r="G133" s="55">
        <f t="shared" ref="G133:R133" si="49">IF(G130-G131&lt;=0,0,G130-G131)</f>
        <v>4745</v>
      </c>
      <c r="H133" s="55">
        <f t="shared" si="49"/>
        <v>4055</v>
      </c>
      <c r="I133" s="55">
        <f t="shared" si="49"/>
        <v>4055</v>
      </c>
      <c r="J133" s="55">
        <f t="shared" si="49"/>
        <v>4194</v>
      </c>
      <c r="K133" s="76">
        <f t="shared" si="49"/>
        <v>4194</v>
      </c>
      <c r="L133" s="76">
        <f t="shared" si="49"/>
        <v>4359</v>
      </c>
      <c r="M133" s="97">
        <f t="shared" si="49"/>
        <v>3650</v>
      </c>
      <c r="N133" s="55">
        <f t="shared" si="49"/>
        <v>3982</v>
      </c>
      <c r="O133" s="55">
        <f t="shared" si="49"/>
        <v>3650</v>
      </c>
      <c r="P133" s="55">
        <f t="shared" si="49"/>
        <v>3650</v>
      </c>
      <c r="Q133" s="55">
        <f t="shared" si="49"/>
        <v>1200</v>
      </c>
      <c r="R133" s="55">
        <f t="shared" si="49"/>
        <v>4000</v>
      </c>
      <c r="S133" s="56">
        <f>S130-S131+S132</f>
        <v>58036.397800000006</v>
      </c>
      <c r="T133" s="147"/>
      <c r="U133" s="137"/>
      <c r="V133" s="138"/>
    </row>
    <row r="134" spans="1:22" x14ac:dyDescent="0.25">
      <c r="A134" s="127">
        <v>38808</v>
      </c>
      <c r="B134" s="186">
        <f>Input!G$38</f>
        <v>0</v>
      </c>
      <c r="D134" s="136"/>
      <c r="E134" s="130" t="s">
        <v>114</v>
      </c>
      <c r="F134" s="51" t="s">
        <v>115</v>
      </c>
      <c r="G134" s="56">
        <f>IF(G129=0,0,IF($T$11&lt;=Input!G53,0,R126+R127+U127))</f>
        <v>230754.74601335963</v>
      </c>
      <c r="H134" s="56">
        <f>IF(H129=0,0,IF($T$11&lt;=Input!H53,0,G133+G134))</f>
        <v>235499.74601335963</v>
      </c>
      <c r="I134" s="56">
        <f>IF(I129=0,0,IF($T$11&lt;=Input!I53,0,H133+H134))</f>
        <v>239554.74601335963</v>
      </c>
      <c r="J134" s="56">
        <f>IF(J129=0,0,IF($T$11&lt;=Input!J53,0,I133+I134))</f>
        <v>243609.74601335963</v>
      </c>
      <c r="K134" s="54">
        <f>IF(K129=0,0,IF($T$11&lt;=Input!K53,0,J133+J134))</f>
        <v>247803.74601335963</v>
      </c>
      <c r="L134" s="54">
        <f>IF(L129=0,0,IF($T$11&lt;=Input!L53,0,K133+K134))</f>
        <v>251997.74601335963</v>
      </c>
      <c r="M134" s="96">
        <f>IF(M129=0,0,IF($T$11&lt;=Input!M53,0,L133+L134))</f>
        <v>256356.74601335963</v>
      </c>
      <c r="N134" s="56">
        <f>IF(N129=0,0,IF($T$11&lt;=Input!N53,0,M133+M134))</f>
        <v>260006.74601335963</v>
      </c>
      <c r="O134" s="56">
        <f>IF(O129=0,0,IF($T$11&lt;=Input!O53,0,N133+N134))</f>
        <v>263988.74601335963</v>
      </c>
      <c r="P134" s="56">
        <f>IF(P129=0,0,IF($T$11&lt;=Input!P53,0,O133+O134))</f>
        <v>267638.74601335963</v>
      </c>
      <c r="Q134" s="56">
        <f>IF(Q129=0,0,IF($T$11&lt;=Input!Q53,0,P133+P134))</f>
        <v>271288.74601335963</v>
      </c>
      <c r="R134" s="56">
        <f>IF(R129=0,0,IF($T$11&lt;=Input!R53,0,Q133+Q134))</f>
        <v>272488.74601335963</v>
      </c>
      <c r="S134" s="48"/>
      <c r="T134" s="106">
        <f>SUM(G133:R133)</f>
        <v>45734</v>
      </c>
      <c r="U134" s="55">
        <f>SUM(G135:R135)</f>
        <v>22173.877776168963</v>
      </c>
      <c r="V134" s="108">
        <f>SUM(T134,U134)</f>
        <v>67907.877776168956</v>
      </c>
    </row>
    <row r="135" spans="1:22" x14ac:dyDescent="0.25">
      <c r="A135" s="127">
        <v>38838</v>
      </c>
      <c r="B135" s="186">
        <f>Input!H$38</f>
        <v>0</v>
      </c>
      <c r="D135" s="136"/>
      <c r="E135" s="58">
        <v>8.7499999999999994E-2</v>
      </c>
      <c r="F135" s="59" t="s">
        <v>116</v>
      </c>
      <c r="G135" s="64">
        <f t="shared" ref="G135:R135" si="50">G134/12*$E135</f>
        <v>1682.5866896807472</v>
      </c>
      <c r="H135" s="55">
        <f t="shared" si="50"/>
        <v>1717.1856480140805</v>
      </c>
      <c r="I135" s="55">
        <f t="shared" si="50"/>
        <v>1746.753356347414</v>
      </c>
      <c r="J135" s="55">
        <f t="shared" si="50"/>
        <v>1776.3210646807472</v>
      </c>
      <c r="K135" s="76">
        <f t="shared" si="50"/>
        <v>1806.9023146807472</v>
      </c>
      <c r="L135" s="76">
        <f t="shared" si="50"/>
        <v>1837.4835646807471</v>
      </c>
      <c r="M135" s="97">
        <f t="shared" si="50"/>
        <v>1869.2679396807471</v>
      </c>
      <c r="N135" s="55">
        <f t="shared" si="50"/>
        <v>1895.8825230140806</v>
      </c>
      <c r="O135" s="55">
        <f t="shared" si="50"/>
        <v>1924.9179396807472</v>
      </c>
      <c r="P135" s="55">
        <f t="shared" si="50"/>
        <v>1951.5325230140804</v>
      </c>
      <c r="Q135" s="55">
        <f t="shared" si="50"/>
        <v>1978.1471063474139</v>
      </c>
      <c r="R135" s="55">
        <f t="shared" si="50"/>
        <v>1986.8971063474139</v>
      </c>
      <c r="S135" s="48"/>
      <c r="T135" s="107">
        <f>SUM(T19,T25,T31,T37,T43,T49,T55,T61,T67,T73,T79,T85,T91,T97,T103,T109,T115,T121,T127,T134)</f>
        <v>233613</v>
      </c>
      <c r="U135" s="62">
        <f>SUM(U19,U25,U31,U37,U43,U49,U55,U61,U67,U73,U79,U85,U91,U97,U103,U109,U115,U121,U127,U134)</f>
        <v>65049.62378952861</v>
      </c>
      <c r="V135" s="109">
        <f>SUM(V19,V25,V31,V37,V43,V49,V55,V61,V67,V73,V79,V85,V91,V97,V103,V109,V115,V121,V127,V134)</f>
        <v>298662.62378952862</v>
      </c>
    </row>
    <row r="136" spans="1:22" x14ac:dyDescent="0.25">
      <c r="A136" s="127">
        <v>38869</v>
      </c>
      <c r="B136" s="186">
        <f>Input!I$38</f>
        <v>0</v>
      </c>
      <c r="D136" s="135">
        <v>21</v>
      </c>
      <c r="E136" s="130" t="s">
        <v>137</v>
      </c>
      <c r="F136" s="47" t="s">
        <v>109</v>
      </c>
      <c r="G136" s="63">
        <v>42095</v>
      </c>
      <c r="H136" s="63">
        <v>42125</v>
      </c>
      <c r="I136" s="63">
        <v>42156</v>
      </c>
      <c r="J136" s="63">
        <v>42186</v>
      </c>
      <c r="K136" s="63">
        <v>42217</v>
      </c>
      <c r="L136" s="63">
        <v>42248</v>
      </c>
      <c r="M136" s="63">
        <v>42278</v>
      </c>
      <c r="N136" s="63">
        <v>42309</v>
      </c>
      <c r="O136" s="63">
        <v>42339</v>
      </c>
      <c r="P136" s="63">
        <v>42370</v>
      </c>
      <c r="Q136" s="63">
        <v>42401</v>
      </c>
      <c r="R136" s="63">
        <v>42430</v>
      </c>
      <c r="S136" s="156">
        <f>SUM(Input!G56:R56)</f>
        <v>767718</v>
      </c>
      <c r="T136" s="139"/>
      <c r="U136" s="140"/>
      <c r="V136" s="141"/>
    </row>
    <row r="137" spans="1:22" x14ac:dyDescent="0.25">
      <c r="A137" s="127">
        <v>38899</v>
      </c>
      <c r="B137" s="186">
        <f>Input!J$38</f>
        <v>0</v>
      </c>
      <c r="D137" s="136"/>
      <c r="E137" s="130"/>
      <c r="F137" s="51" t="s">
        <v>110</v>
      </c>
      <c r="G137" s="54">
        <f>IF(Input!G56=0,0,INT((Input!G56*8.33/100)+0.5))</f>
        <v>5408</v>
      </c>
      <c r="H137" s="54">
        <f>IF(Input!H56=0,0,INT((Input!H56*8.33/100)+0.5))</f>
        <v>5043</v>
      </c>
      <c r="I137" s="54">
        <f>IF(Input!I56=0,0,INT((Input!I56*8.33/100)+0.5))</f>
        <v>5043</v>
      </c>
      <c r="J137" s="54">
        <f>IF(Input!J56=0,0,INT((Input!J56*8.33/100)+0.5))</f>
        <v>5195</v>
      </c>
      <c r="K137" s="54">
        <f>IF(Input!K56=0,0,INT((Input!K56*8.33/100)+0.5))</f>
        <v>5195</v>
      </c>
      <c r="L137" s="54">
        <f>IF(Input!L56=0,0,INT((Input!L56*8.33/100)+0.5))</f>
        <v>5341</v>
      </c>
      <c r="M137" s="54">
        <f>IF(Input!M56=0,0,INT((Input!M56*8.33/100)+0.5))</f>
        <v>5634</v>
      </c>
      <c r="N137" s="54">
        <f>IF(Input!N56=0,0,INT((Input!N56*8.33/100)+0.5))</f>
        <v>5341</v>
      </c>
      <c r="O137" s="54">
        <f>IF(Input!O56=0,0,INT((Input!O56*8.33/100)+0.5))</f>
        <v>5436</v>
      </c>
      <c r="P137" s="54">
        <f>IF(Input!P56=0,0,INT((Input!P56*8.33/100)+0.5))</f>
        <v>5431</v>
      </c>
      <c r="Q137" s="54">
        <f>IF(Input!Q56=0,0,INT((Input!Q56*8.33/100)+0.5))</f>
        <v>5441</v>
      </c>
      <c r="R137" s="54">
        <f>IF(Input!R56=0,0,INT((Input!R56*8.33/100)+0.5))</f>
        <v>5441</v>
      </c>
      <c r="S137" s="56">
        <f>IF(S136=0,0,S136*8.33/100)</f>
        <v>63950.909400000004</v>
      </c>
      <c r="T137" s="146"/>
      <c r="U137" s="131"/>
      <c r="V137" s="132"/>
    </row>
    <row r="138" spans="1:22" ht="30" x14ac:dyDescent="0.25">
      <c r="A138" s="127">
        <v>38930</v>
      </c>
      <c r="B138" s="186">
        <f>Input!K$38</f>
        <v>0</v>
      </c>
      <c r="D138" s="136"/>
      <c r="E138" s="130"/>
      <c r="F138" s="51" t="s">
        <v>112</v>
      </c>
      <c r="G138" s="54">
        <f>IF(Input!G56&lt;=$U$7,INT((Input!G56*8.33%)+0.5),INT(($U$7*8.33%)+0.5))</f>
        <v>1250</v>
      </c>
      <c r="H138" s="54">
        <f>IF(Input!H56&lt;=$U$7,INT((Input!H56*8.33%)+0.5),INT(($U$7*8.33%)+0.5))</f>
        <v>1250</v>
      </c>
      <c r="I138" s="54">
        <f>IF(Input!I56&lt;=$U$7,INT((Input!I56*8.33%)+0.5),INT(($U$7*8.33%)+0.5))</f>
        <v>1250</v>
      </c>
      <c r="J138" s="54">
        <f>IF(Input!J56&lt;=$U$7,INT((Input!J56*8.33%)+0.5),INT(($U$7*8.33%)+0.5))</f>
        <v>1250</v>
      </c>
      <c r="K138" s="54">
        <f>IF(Input!K56&lt;=$U$7,INT((Input!K56*8.33%)+0.5),INT(($U$7*8.33%)+0.5))</f>
        <v>1250</v>
      </c>
      <c r="L138" s="54">
        <f>IF(Input!L56&lt;=$U$7,INT((Input!L56*8.33%)+0.5),INT(($U$7*8.33%)+0.5))</f>
        <v>1250</v>
      </c>
      <c r="M138" s="54">
        <f>IF(Input!M56&lt;=$U$7,INT((Input!M56*8.33%)+0.5),INT(($U$7*8.33%)+0.5))</f>
        <v>1250</v>
      </c>
      <c r="N138" s="54">
        <f>IF(Input!N56&lt;=$U$7,INT((Input!N56*8.33%)+0.5),INT(($U$7*8.33%)+0.5))</f>
        <v>1250</v>
      </c>
      <c r="O138" s="54">
        <f>IF(Input!O56&lt;=$U$7,INT((Input!O56*8.33%)+0.5),INT(($U$7*8.33%)+0.5))</f>
        <v>1250</v>
      </c>
      <c r="P138" s="54">
        <f>IF(Input!P56&lt;=$U$7,INT((Input!P56*8.33%)+0.5),INT(($U$7*8.33%)+0.5))</f>
        <v>1250</v>
      </c>
      <c r="Q138" s="54">
        <f>IF(Input!Q56&lt;=$U$7,INT((Input!Q56*8.33%)+0.5),INT(($U$7*8.33%)+0.5))</f>
        <v>1250</v>
      </c>
      <c r="R138" s="54">
        <f>IF(Input!R56&lt;=$U$7,INT((Input!R56*8.33%)+0.5),INT(($U$7*8.33%)+0.5))</f>
        <v>1250</v>
      </c>
      <c r="S138" s="56">
        <f>IF(S136=0,0,$U$7*8.33%)</f>
        <v>1249.5</v>
      </c>
      <c r="T138" s="146"/>
      <c r="U138" s="131"/>
      <c r="V138" s="132"/>
    </row>
    <row r="139" spans="1:22" ht="45" x14ac:dyDescent="0.25">
      <c r="A139" s="127">
        <v>38961</v>
      </c>
      <c r="B139" s="186">
        <f>Input!L$38</f>
        <v>0</v>
      </c>
      <c r="D139" s="136"/>
      <c r="E139" s="130"/>
      <c r="F139" s="101" t="s">
        <v>208</v>
      </c>
      <c r="G139" s="100">
        <f>IF(Input!G56&lt;=$U$7,0,INT(((Input!G56-$U$7)*1.16%)+0.5))</f>
        <v>579</v>
      </c>
      <c r="H139" s="100">
        <f>IF(Input!H56&lt;=$U$7,0,INT(((Input!H56-$U$7)*1.16%)+0.5))</f>
        <v>528</v>
      </c>
      <c r="I139" s="100">
        <f>IF(Input!I56&lt;=$U$7,0,INT(((Input!I56-$U$7)*1.16%)+0.5))</f>
        <v>528</v>
      </c>
      <c r="J139" s="100">
        <f>IF(Input!J56&lt;=$U$7,0,INT(((Input!J56-$U$7)*1.16%)+0.5))</f>
        <v>549</v>
      </c>
      <c r="K139" s="100">
        <f>IF(Input!K56&lt;=$U$7,0,INT(((Input!K56-$U$7)*1.16%)+0.5))</f>
        <v>549</v>
      </c>
      <c r="L139" s="100">
        <f>IF(Input!L56&lt;=$U$7,0,INT(((Input!L56-$U$7)*1.16%)+0.5))</f>
        <v>570</v>
      </c>
      <c r="M139" s="100">
        <f>IF(Input!M56&lt;=$U$7,0,INT(((Input!M56-$U$7)*1.16%)+0.5))</f>
        <v>611</v>
      </c>
      <c r="N139" s="100">
        <f>IF(Input!N56&lt;=$U$7,0,INT(((Input!N56-$U$7)*1.16%)+0.5))</f>
        <v>570</v>
      </c>
      <c r="O139" s="100">
        <f>IF(Input!O56&lt;=$U$7,0,INT(((Input!O56-$U$7)*1.16%)+0.5))</f>
        <v>583</v>
      </c>
      <c r="P139" s="100">
        <f>IF(Input!P56&lt;=$U$7,0,INT(((Input!P56-$U$7)*1.16%)+0.5))</f>
        <v>582</v>
      </c>
      <c r="Q139" s="100">
        <f>IF(Input!Q56&lt;=$U$7,0,INT(((Input!Q56-$U$7)*1.16%)+0.5))</f>
        <v>584</v>
      </c>
      <c r="R139" s="100">
        <f>IF(Input!R56&lt;=$U$7,0,INT(((Input!R56-$U$7)*1.16%)+0.5))</f>
        <v>584</v>
      </c>
      <c r="S139" s="102">
        <f>SUM(G139:R139)</f>
        <v>6817</v>
      </c>
      <c r="T139" s="146"/>
      <c r="U139" s="131"/>
      <c r="V139" s="132"/>
    </row>
    <row r="140" spans="1:22" ht="30" x14ac:dyDescent="0.25">
      <c r="A140" s="127">
        <v>38991</v>
      </c>
      <c r="B140" s="186">
        <f>Input!M$38</f>
        <v>0</v>
      </c>
      <c r="D140" s="136"/>
      <c r="E140" s="130"/>
      <c r="F140" s="51" t="s">
        <v>113</v>
      </c>
      <c r="G140" s="55">
        <f t="shared" ref="G140:R140" si="51">G137-G138</f>
        <v>4158</v>
      </c>
      <c r="H140" s="56">
        <f t="shared" si="51"/>
        <v>3793</v>
      </c>
      <c r="I140" s="56">
        <f t="shared" si="51"/>
        <v>3793</v>
      </c>
      <c r="J140" s="56">
        <f t="shared" si="51"/>
        <v>3945</v>
      </c>
      <c r="K140" s="56">
        <f t="shared" si="51"/>
        <v>3945</v>
      </c>
      <c r="L140" s="56">
        <f t="shared" si="51"/>
        <v>4091</v>
      </c>
      <c r="M140" s="56">
        <f t="shared" si="51"/>
        <v>4384</v>
      </c>
      <c r="N140" s="56">
        <f t="shared" si="51"/>
        <v>4091</v>
      </c>
      <c r="O140" s="56">
        <f t="shared" si="51"/>
        <v>4186</v>
      </c>
      <c r="P140" s="56">
        <f t="shared" si="51"/>
        <v>4181</v>
      </c>
      <c r="Q140" s="56">
        <f t="shared" si="51"/>
        <v>4191</v>
      </c>
      <c r="R140" s="56">
        <f t="shared" si="51"/>
        <v>4191</v>
      </c>
      <c r="S140" s="56">
        <f>S137-S138+S139</f>
        <v>69518.409400000004</v>
      </c>
      <c r="T140" s="146"/>
      <c r="U140" s="131"/>
      <c r="V140" s="132"/>
    </row>
    <row r="141" spans="1:22" x14ac:dyDescent="0.25">
      <c r="A141" s="127">
        <v>39022</v>
      </c>
      <c r="B141" s="186">
        <f>Input!N$38</f>
        <v>0</v>
      </c>
      <c r="D141" s="136"/>
      <c r="E141" s="130" t="s">
        <v>114</v>
      </c>
      <c r="F141" s="51" t="s">
        <v>115</v>
      </c>
      <c r="G141" s="56">
        <f>IF(G136=0,0,IF($T$11&lt;=Input!G55,0,R133+R134+U134))</f>
        <v>298662.62378952862</v>
      </c>
      <c r="H141" s="56">
        <f>IF(H136=0,0,IF($T$11&lt;=Input!H55,0,G140+G141))</f>
        <v>302820.62378952862</v>
      </c>
      <c r="I141" s="56">
        <f>IF(I136=0,0,IF($T$11&lt;=Input!I55,0,H140+H141))</f>
        <v>306613.62378952862</v>
      </c>
      <c r="J141" s="56">
        <f>IF(J136=0,0,IF($T$11&lt;=Input!J55,0,I140+I141))</f>
        <v>310406.62378952862</v>
      </c>
      <c r="K141" s="56">
        <f>IF(K136=0,0,IF($T$11&lt;=Input!K55,0,J140+J141))</f>
        <v>314351.62378952862</v>
      </c>
      <c r="L141" s="56">
        <f>IF(L136=0,0,IF($T$11&lt;=Input!L55,0,K140+K141))</f>
        <v>318296.62378952862</v>
      </c>
      <c r="M141" s="56">
        <f>IF(M136=0,0,IF($T$11&lt;=Input!M55,0,L140+L141))</f>
        <v>322387.62378952862</v>
      </c>
      <c r="N141" s="56">
        <f>IF(N136=0,0,IF($T$11&lt;=Input!N55,0,M140+M141))</f>
        <v>326771.62378952862</v>
      </c>
      <c r="O141" s="56">
        <f>IF(O136=0,0,IF($T$11&lt;=Input!O55,0,N140+N141))</f>
        <v>330862.62378952862</v>
      </c>
      <c r="P141" s="56">
        <f>IF(P136=0,0,IF($T$11&lt;=Input!P55,0,O140+O141))</f>
        <v>335048.62378952862</v>
      </c>
      <c r="Q141" s="56">
        <f>IF(Q136=0,0,IF($T$11&lt;=Input!Q55,0,P140+P141))</f>
        <v>339229.62378952862</v>
      </c>
      <c r="R141" s="56">
        <f>IF(R136=0,0,IF($T$11&lt;=Input!R55,0,Q140+Q141))</f>
        <v>343420.62378952862</v>
      </c>
      <c r="S141" s="48"/>
      <c r="T141" s="106">
        <f>SUM(G140:R140)</f>
        <v>48949</v>
      </c>
      <c r="U141" s="55">
        <f>SUM(G142:R142)</f>
        <v>28225.06489347852</v>
      </c>
      <c r="V141" s="55">
        <f>SUM(T141,U141)</f>
        <v>77174.064893478528</v>
      </c>
    </row>
    <row r="142" spans="1:22" x14ac:dyDescent="0.25">
      <c r="A142" s="127">
        <v>39052</v>
      </c>
      <c r="B142" s="186">
        <f>Input!O$38</f>
        <v>0</v>
      </c>
      <c r="D142" s="136"/>
      <c r="E142" s="58">
        <v>8.7999999999999995E-2</v>
      </c>
      <c r="F142" s="59" t="s">
        <v>116</v>
      </c>
      <c r="G142" s="64">
        <f t="shared" ref="G142:R142" si="52">G141/12*$E142</f>
        <v>2190.1925744565428</v>
      </c>
      <c r="H142" s="55">
        <f t="shared" si="52"/>
        <v>2220.684574456543</v>
      </c>
      <c r="I142" s="55">
        <f t="shared" si="52"/>
        <v>2248.4999077898765</v>
      </c>
      <c r="J142" s="55">
        <f t="shared" si="52"/>
        <v>2276.3152411232099</v>
      </c>
      <c r="K142" s="55">
        <f t="shared" si="52"/>
        <v>2305.2452411232098</v>
      </c>
      <c r="L142" s="55">
        <f t="shared" si="52"/>
        <v>2334.1752411232096</v>
      </c>
      <c r="M142" s="55">
        <f t="shared" si="52"/>
        <v>2364.1759077898764</v>
      </c>
      <c r="N142" s="55">
        <f t="shared" si="52"/>
        <v>2396.3252411232097</v>
      </c>
      <c r="O142" s="55">
        <f t="shared" si="52"/>
        <v>2426.3259077898761</v>
      </c>
      <c r="P142" s="55">
        <f t="shared" si="52"/>
        <v>2457.02324112321</v>
      </c>
      <c r="Q142" s="55">
        <f t="shared" si="52"/>
        <v>2487.6839077898762</v>
      </c>
      <c r="R142" s="55">
        <f t="shared" si="52"/>
        <v>2518.4179077898762</v>
      </c>
      <c r="S142" s="48"/>
      <c r="T142" s="107">
        <f>SUM(T19,T25,T31,T37,T43,T49,T55,T61,T67,T73,T79,T85,T91,T97,T103,T109,T115,T121,T127,T134,T141)</f>
        <v>282562</v>
      </c>
      <c r="U142" s="62">
        <f>SUM(U19,U25,U31,U37,U43,U49,U55,U61,U67,U73,U79,U85,U91,U97,U103,U109,U115,U121,U127,U134,U141)</f>
        <v>93274.688683007131</v>
      </c>
      <c r="V142" s="62">
        <f>SUM(V19,V25,V31,V37,V43,V49,V55,V61,V67,V73,V79,V85,V91,V97,V103,V109,V115,V121,V127,V134,V141)</f>
        <v>375836.68868300715</v>
      </c>
    </row>
    <row r="143" spans="1:22" x14ac:dyDescent="0.25">
      <c r="A143" s="127">
        <v>39083</v>
      </c>
      <c r="B143" s="186">
        <f>Input!P$38</f>
        <v>0</v>
      </c>
      <c r="D143" s="135">
        <v>22</v>
      </c>
      <c r="E143" s="130" t="s">
        <v>138</v>
      </c>
      <c r="F143" s="47" t="s">
        <v>109</v>
      </c>
      <c r="G143" s="36">
        <v>42461</v>
      </c>
      <c r="H143" s="111">
        <v>42491</v>
      </c>
      <c r="I143" s="111">
        <v>42522</v>
      </c>
      <c r="J143" s="111">
        <v>42552</v>
      </c>
      <c r="K143" s="111">
        <v>42583</v>
      </c>
      <c r="L143" s="111">
        <v>42614</v>
      </c>
      <c r="M143" s="111">
        <v>42644</v>
      </c>
      <c r="N143" s="111">
        <v>42675</v>
      </c>
      <c r="O143" s="111">
        <v>42705</v>
      </c>
      <c r="P143" s="111">
        <v>42736</v>
      </c>
      <c r="Q143" s="111">
        <v>42767</v>
      </c>
      <c r="R143" s="111">
        <v>42795</v>
      </c>
      <c r="S143" s="156">
        <f>SUM(Input!G58:R58)</f>
        <v>882443</v>
      </c>
      <c r="T143" s="146"/>
      <c r="U143" s="131"/>
      <c r="V143" s="131"/>
    </row>
    <row r="144" spans="1:22" x14ac:dyDescent="0.25">
      <c r="A144" s="127">
        <v>39114</v>
      </c>
      <c r="B144" s="186">
        <f>Input!Q$38</f>
        <v>0</v>
      </c>
      <c r="D144" s="136"/>
      <c r="E144" s="130"/>
      <c r="F144" s="51" t="s">
        <v>110</v>
      </c>
      <c r="G144" s="54">
        <f>IF(Input!G58=0,0,INT((Input!G58*8.33/100)+0.5))</f>
        <v>5518</v>
      </c>
      <c r="H144" s="54">
        <f>IF(Input!H58=0,0,INT((Input!H58*8.33/100)+0.5))</f>
        <v>6022</v>
      </c>
      <c r="I144" s="54">
        <f>IF(Input!I58=0,0,INT((Input!I58*8.33/100)+0.5))</f>
        <v>5598</v>
      </c>
      <c r="J144" s="54">
        <f>IF(Input!J58=0,0,INT((Input!J58*8.33/100)+0.5))</f>
        <v>5753</v>
      </c>
      <c r="K144" s="54">
        <f>IF(Input!K58=0,0,INT((Input!K58*8.33/100)+0.5))</f>
        <v>5905</v>
      </c>
      <c r="L144" s="54">
        <f>IF(Input!L58=0,0,INT((Input!L58*8.33/100)+0.5))</f>
        <v>6133</v>
      </c>
      <c r="M144" s="54">
        <f>IF(Input!M58=0,0,INT((Input!M58*8.33/100)+0.5))</f>
        <v>6138</v>
      </c>
      <c r="N144" s="54">
        <f>IF(Input!N58=0,0,INT((Input!N58*8.33/100)+0.5))</f>
        <v>6437</v>
      </c>
      <c r="O144" s="54">
        <f>IF(Input!O58=0,0,INT((Input!O58*8.33/100)+0.5))</f>
        <v>6973</v>
      </c>
      <c r="P144" s="54">
        <f>IF(Input!P58=0,0,INT((Input!P58*8.33/100)+0.5))</f>
        <v>6236</v>
      </c>
      <c r="Q144" s="54">
        <f>IF(Input!Q58=0,0,INT((Input!Q58*8.33/100)+0.5))</f>
        <v>6236</v>
      </c>
      <c r="R144" s="54">
        <f>IF(Input!R58=0,0,INT((Input!R58*8.33/100)+0.5))</f>
        <v>6559</v>
      </c>
      <c r="S144" s="56">
        <f>IF(S143=0,0,S143*8.33/100)</f>
        <v>73507.501900000003</v>
      </c>
      <c r="T144" s="146"/>
      <c r="U144" s="131"/>
      <c r="V144" s="131"/>
    </row>
    <row r="145" spans="1:22" ht="30" x14ac:dyDescent="0.25">
      <c r="A145" s="127">
        <v>39142</v>
      </c>
      <c r="B145" s="186">
        <f>Input!R$38</f>
        <v>0</v>
      </c>
      <c r="D145" s="136"/>
      <c r="E145" s="130"/>
      <c r="F145" s="51" t="s">
        <v>112</v>
      </c>
      <c r="G145" s="54">
        <f>IF(Input!G58&lt;=$U$7,INT((Input!G58*8.33%)+0.5),INT(($U$7*8.33%)+0.5))</f>
        <v>1250</v>
      </c>
      <c r="H145" s="54">
        <f>IF(Input!H58&lt;=$U$7,INT((Input!H58*8.33%)+0.5),INT(($U$7*8.33%)+0.5))</f>
        <v>1250</v>
      </c>
      <c r="I145" s="54">
        <f>IF(Input!I58&lt;=$U$7,INT((Input!I58*8.33%)+0.5),INT(($U$7*8.33%)+0.5))</f>
        <v>1250</v>
      </c>
      <c r="J145" s="54">
        <f>IF(Input!J58&lt;=$U$7,INT((Input!J58*8.33%)+0.5),INT(($U$7*8.33%)+0.5))</f>
        <v>1250</v>
      </c>
      <c r="K145" s="54">
        <f>IF(Input!K58&lt;=$U$7,INT((Input!K58*8.33%)+0.5),INT(($U$7*8.33%)+0.5))</f>
        <v>1250</v>
      </c>
      <c r="L145" s="54">
        <f>IF(Input!L58&lt;=$U$7,INT((Input!L58*8.33%)+0.5),INT(($U$7*8.33%)+0.5))</f>
        <v>1250</v>
      </c>
      <c r="M145" s="54">
        <f>IF(Input!M58&lt;=$U$7,INT((Input!M58*8.33%)+0.5),INT(($U$7*8.33%)+0.5))</f>
        <v>1250</v>
      </c>
      <c r="N145" s="54">
        <f>IF(Input!N58&lt;=$U$7,INT((Input!N58*8.33%)+0.5),INT(($U$7*8.33%)+0.5))</f>
        <v>1250</v>
      </c>
      <c r="O145" s="54">
        <f>IF(Input!O58&lt;=$U$7,INT((Input!O58*8.33%)+0.5),INT(($U$7*8.33%)+0.5))</f>
        <v>1250</v>
      </c>
      <c r="P145" s="54">
        <f>IF(Input!P58&lt;=$U$7,INT((Input!P58*8.33%)+0.5),INT(($U$7*8.33%)+0.5))</f>
        <v>1250</v>
      </c>
      <c r="Q145" s="54">
        <f>IF(Input!Q58&lt;=$U$7,INT((Input!Q58*8.33%)+0.5),INT(($U$7*8.33%)+0.5))</f>
        <v>1250</v>
      </c>
      <c r="R145" s="54">
        <f>IF(Input!R58&lt;=$U$7,INT((Input!R58*8.33%)+0.5),INT(($U$7*8.33%)+0.5))</f>
        <v>1250</v>
      </c>
      <c r="S145" s="56">
        <f>IF(S143=0,0,$U$7*8.33%)</f>
        <v>1249.5</v>
      </c>
      <c r="T145" s="146"/>
      <c r="U145" s="131"/>
      <c r="V145" s="131"/>
    </row>
    <row r="146" spans="1:22" ht="45" x14ac:dyDescent="0.25">
      <c r="A146" s="127">
        <v>39173</v>
      </c>
      <c r="B146" s="186">
        <f>Input!G$40</f>
        <v>0</v>
      </c>
      <c r="D146" s="136"/>
      <c r="E146" s="130"/>
      <c r="F146" s="101" t="s">
        <v>208</v>
      </c>
      <c r="G146" s="100">
        <f>IF(Input!G58&lt;=$U$7,0,INT(((Input!G58-$U$7)*1.16%)+0.5))</f>
        <v>594</v>
      </c>
      <c r="H146" s="100">
        <f>IF(Input!H58&lt;=$U$7,0,INT(((Input!H58-$U$7)*1.16%)+0.5))</f>
        <v>665</v>
      </c>
      <c r="I146" s="100">
        <f>IF(Input!I58&lt;=$U$7,0,INT(((Input!I58-$U$7)*1.16%)+0.5))</f>
        <v>606</v>
      </c>
      <c r="J146" s="100">
        <f>IF(Input!J58&lt;=$U$7,0,INT(((Input!J58-$U$7)*1.16%)+0.5))</f>
        <v>627</v>
      </c>
      <c r="K146" s="100">
        <f>IF(Input!K58&lt;=$U$7,0,INT(((Input!K58-$U$7)*1.16%)+0.5))</f>
        <v>648</v>
      </c>
      <c r="L146" s="100">
        <f>IF(Input!L58&lt;=$U$7,0,INT(((Input!L58-$U$7)*1.16%)+0.5))</f>
        <v>680</v>
      </c>
      <c r="M146" s="100">
        <f>IF(Input!M58&lt;=$U$7,0,INT(((Input!M58-$U$7)*1.16%)+0.5))</f>
        <v>681</v>
      </c>
      <c r="N146" s="100">
        <f>IF(Input!N58&lt;=$U$7,0,INT(((Input!N58-$U$7)*1.16%)+0.5))</f>
        <v>722</v>
      </c>
      <c r="O146" s="100">
        <f>IF(Input!O58&lt;=$U$7,0,INT(((Input!O58-$U$7)*1.16%)+0.5))</f>
        <v>797</v>
      </c>
      <c r="P146" s="100">
        <f>IF(Input!P58&lt;=$U$7,0,INT(((Input!P58-$U$7)*1.16%)+0.5))</f>
        <v>694</v>
      </c>
      <c r="Q146" s="100">
        <f>IF(Input!Q58&lt;=$U$7,0,INT(((Input!Q58-$U$7)*1.16%)+0.5))</f>
        <v>694</v>
      </c>
      <c r="R146" s="100">
        <f>IF(Input!R58&lt;=$U$7,0,INT(((Input!R58-$U$7)*1.16%)+0.5))</f>
        <v>739</v>
      </c>
      <c r="S146" s="102">
        <f>SUM(G146:R146)</f>
        <v>8147</v>
      </c>
      <c r="T146" s="146"/>
      <c r="U146" s="131"/>
      <c r="V146" s="131"/>
    </row>
    <row r="147" spans="1:22" ht="30" x14ac:dyDescent="0.25">
      <c r="A147" s="127">
        <v>39203</v>
      </c>
      <c r="B147" s="186">
        <f>Input!H$40</f>
        <v>0</v>
      </c>
      <c r="D147" s="136"/>
      <c r="E147" s="130"/>
      <c r="F147" s="51" t="s">
        <v>113</v>
      </c>
      <c r="G147" s="55">
        <f t="shared" ref="G147:R147" si="53">IF(G144-G145&lt;=0,0,G144-G145)</f>
        <v>4268</v>
      </c>
      <c r="H147" s="55">
        <f t="shared" si="53"/>
        <v>4772</v>
      </c>
      <c r="I147" s="55">
        <f t="shared" si="53"/>
        <v>4348</v>
      </c>
      <c r="J147" s="55">
        <f t="shared" si="53"/>
        <v>4503</v>
      </c>
      <c r="K147" s="55">
        <f t="shared" si="53"/>
        <v>4655</v>
      </c>
      <c r="L147" s="55">
        <f t="shared" si="53"/>
        <v>4883</v>
      </c>
      <c r="M147" s="55">
        <f t="shared" si="53"/>
        <v>4888</v>
      </c>
      <c r="N147" s="55">
        <f t="shared" si="53"/>
        <v>5187</v>
      </c>
      <c r="O147" s="55">
        <f t="shared" si="53"/>
        <v>5723</v>
      </c>
      <c r="P147" s="55">
        <f t="shared" si="53"/>
        <v>4986</v>
      </c>
      <c r="Q147" s="55">
        <f t="shared" si="53"/>
        <v>4986</v>
      </c>
      <c r="R147" s="55">
        <f t="shared" si="53"/>
        <v>5309</v>
      </c>
      <c r="S147" s="56">
        <f>S144-S145+S146</f>
        <v>80405.001900000003</v>
      </c>
      <c r="T147" s="146"/>
      <c r="U147" s="131"/>
      <c r="V147" s="131"/>
    </row>
    <row r="148" spans="1:22" x14ac:dyDescent="0.25">
      <c r="A148" s="127">
        <v>39234</v>
      </c>
      <c r="B148" s="186">
        <f>Input!I$40</f>
        <v>0</v>
      </c>
      <c r="D148" s="136"/>
      <c r="E148" s="130" t="s">
        <v>114</v>
      </c>
      <c r="F148" s="51" t="s">
        <v>115</v>
      </c>
      <c r="G148" s="56">
        <f>IF(G143=0,0,IF($T$11&lt;=Input!G57,0,R140+R141+U141))</f>
        <v>375836.68868300715</v>
      </c>
      <c r="H148" s="56">
        <f>IF(H143=0,0,IF($T$11&lt;=Input!H57,0,G147+G148))</f>
        <v>380104.68868300715</v>
      </c>
      <c r="I148" s="56">
        <f>IF(I143=0,0,IF($T$11&lt;=Input!I57,0,H147+H148))</f>
        <v>384876.68868300715</v>
      </c>
      <c r="J148" s="56">
        <f>IF(J143=0,0,IF($T$11&lt;=Input!J57,0,I147+I148))</f>
        <v>389224.68868300715</v>
      </c>
      <c r="K148" s="56">
        <f>IF(K143=0,0,IF($T$11&lt;=Input!K57,0,J147+J148))</f>
        <v>393727.68868300715</v>
      </c>
      <c r="L148" s="56">
        <f>IF(L143=0,0,IF($T$11&lt;=Input!L57,0,K147+K148))</f>
        <v>398382.68868300715</v>
      </c>
      <c r="M148" s="56">
        <f>IF(M143=0,0,IF($T$11&lt;=Input!M57,0,L147+L148))</f>
        <v>403265.68868300715</v>
      </c>
      <c r="N148" s="56">
        <f>IF(N143=0,0,IF($T$11&lt;=Input!N57,0,M147+M148))</f>
        <v>408153.68868300715</v>
      </c>
      <c r="O148" s="56">
        <f>IF(O143=0,0,IF($T$11&lt;=Input!O57,0,N147+N148))</f>
        <v>413340.68868300715</v>
      </c>
      <c r="P148" s="56">
        <f>IF(P143=0,0,IF($T$11&lt;=Input!P57,0,O147+O148))</f>
        <v>419063.68868300715</v>
      </c>
      <c r="Q148" s="56">
        <f>IF(Q143=0,0,IF($T$11&lt;=Input!Q57,0,P147+P148))</f>
        <v>424049.68868300715</v>
      </c>
      <c r="R148" s="56">
        <f>IF(R143=0,0,IF($T$11&lt;=Input!R57,0,Q147+Q148))</f>
        <v>429035.68868300715</v>
      </c>
      <c r="S148" s="48"/>
      <c r="T148" s="106">
        <f>SUM(G147:R147)</f>
        <v>58508</v>
      </c>
      <c r="U148" s="55">
        <f>SUM(G149:R149)</f>
        <v>34737.407154413449</v>
      </c>
      <c r="V148" s="55">
        <f>SUM(T148,U148)</f>
        <v>93245.407154413449</v>
      </c>
    </row>
    <row r="149" spans="1:22" x14ac:dyDescent="0.25">
      <c r="A149" s="127">
        <v>39264</v>
      </c>
      <c r="B149" s="186">
        <f>Input!J$40</f>
        <v>0</v>
      </c>
      <c r="D149" s="136"/>
      <c r="E149" s="58">
        <v>8.6499999999999994E-2</v>
      </c>
      <c r="F149" s="59" t="s">
        <v>116</v>
      </c>
      <c r="G149" s="64">
        <f t="shared" ref="G149:R149" si="54">G148/12*$E149</f>
        <v>2709.156130923343</v>
      </c>
      <c r="H149" s="55">
        <f t="shared" si="54"/>
        <v>2739.9212975900095</v>
      </c>
      <c r="I149" s="55">
        <f t="shared" si="54"/>
        <v>2774.3194642566764</v>
      </c>
      <c r="J149" s="55">
        <f t="shared" si="54"/>
        <v>2805.6612975900098</v>
      </c>
      <c r="K149" s="55">
        <f t="shared" si="54"/>
        <v>2838.1204225900096</v>
      </c>
      <c r="L149" s="55">
        <f t="shared" si="54"/>
        <v>2871.6752142566761</v>
      </c>
      <c r="M149" s="55">
        <f t="shared" si="54"/>
        <v>2906.8735059233431</v>
      </c>
      <c r="N149" s="55">
        <f t="shared" si="54"/>
        <v>2942.107839256676</v>
      </c>
      <c r="O149" s="55">
        <f t="shared" si="54"/>
        <v>2979.4974642566763</v>
      </c>
      <c r="P149" s="55">
        <f t="shared" si="54"/>
        <v>3020.7507559233431</v>
      </c>
      <c r="Q149" s="55">
        <f t="shared" si="54"/>
        <v>3056.6915059233434</v>
      </c>
      <c r="R149" s="55">
        <f t="shared" si="54"/>
        <v>3092.6322559233431</v>
      </c>
      <c r="S149" s="48"/>
      <c r="T149" s="107">
        <f>SUM(T19,T25,T31,T37,T43,T49,T55,T61,T67,T73,T79,T85,T91,T97,T103,T109,T115,T121,T127,T134,T141,T148)</f>
        <v>341070</v>
      </c>
      <c r="U149" s="62">
        <f>SUM(U19,U25,U31,U37,U43,U49,U55,U61,U67,U73,U79,U85,U91,U97,U103,U109,U115,U121,U127,U134,U141,U148)</f>
        <v>128012.09583742058</v>
      </c>
      <c r="V149" s="62">
        <f>SUM(V19,V25,V31,V37,V43,V49,V55,V61,V67,V73,V79,V85,V91,V97,V103,V109,V115,V121,V127,V134,V141,V148)</f>
        <v>469082.09583742061</v>
      </c>
    </row>
    <row r="150" spans="1:22" x14ac:dyDescent="0.25">
      <c r="A150" s="127">
        <v>39295</v>
      </c>
      <c r="B150" s="186">
        <f>Input!K$40</f>
        <v>0</v>
      </c>
      <c r="D150" s="135">
        <v>23</v>
      </c>
      <c r="E150" s="130" t="s">
        <v>139</v>
      </c>
      <c r="F150" s="47" t="s">
        <v>109</v>
      </c>
      <c r="G150" s="63">
        <v>42826</v>
      </c>
      <c r="H150" s="63">
        <v>42856</v>
      </c>
      <c r="I150" s="63">
        <v>42887</v>
      </c>
      <c r="J150" s="63">
        <v>42917</v>
      </c>
      <c r="K150" s="63">
        <v>42948</v>
      </c>
      <c r="L150" s="63">
        <v>42979</v>
      </c>
      <c r="M150" s="77">
        <v>43009</v>
      </c>
      <c r="N150" s="77">
        <v>43040</v>
      </c>
      <c r="O150" s="77">
        <v>43070</v>
      </c>
      <c r="P150" s="77">
        <v>43101</v>
      </c>
      <c r="Q150" s="77">
        <v>43132</v>
      </c>
      <c r="R150" s="77">
        <v>43160</v>
      </c>
      <c r="S150" s="156">
        <f>SUM(Input!G60:R60)</f>
        <v>1154522</v>
      </c>
      <c r="T150" s="148"/>
      <c r="U150" s="142"/>
      <c r="V150" s="142"/>
    </row>
    <row r="151" spans="1:22" x14ac:dyDescent="0.25">
      <c r="A151" s="127">
        <v>39326</v>
      </c>
      <c r="B151" s="186">
        <f>Input!L$40</f>
        <v>0</v>
      </c>
      <c r="D151" s="136"/>
      <c r="E151" s="130"/>
      <c r="F151" s="51" t="s">
        <v>110</v>
      </c>
      <c r="G151" s="54">
        <f>IF(Input!G60=0,0,INT((Input!G60*8.33/100)+0.5))</f>
        <v>6344</v>
      </c>
      <c r="H151" s="54">
        <f>IF(Input!H60=0,0,INT((Input!H60*8.33/100)+0.5))</f>
        <v>6344</v>
      </c>
      <c r="I151" s="54">
        <f>IF(Input!I60=0,0,INT((Input!I60*8.33/100)+0.5))</f>
        <v>15515</v>
      </c>
      <c r="J151" s="54">
        <f>IF(Input!J60=0,0,INT((Input!J60*8.33/100)+0.5))</f>
        <v>7433</v>
      </c>
      <c r="K151" s="54">
        <f>IF(Input!K60=0,0,INT((Input!K60*8.33/100)+0.5))</f>
        <v>7433</v>
      </c>
      <c r="L151" s="54">
        <f>IF(Input!L60=0,0,INT((Input!L60*8.33/100)+0.5))</f>
        <v>7647</v>
      </c>
      <c r="M151" s="54">
        <f>IF(Input!M60=0,0,INT((Input!M60*8.33/100)+0.5))</f>
        <v>7504</v>
      </c>
      <c r="N151" s="54">
        <f>IF(Input!N60=0,0,INT((Input!N60*8.33/100)+0.5))</f>
        <v>7504</v>
      </c>
      <c r="O151" s="54">
        <f>IF(Input!O60=0,0,INT((Input!O60*8.33/100)+0.5))</f>
        <v>7504</v>
      </c>
      <c r="P151" s="54">
        <f>IF(Input!P60=0,0,INT((Input!P60*8.33/100)+0.5))</f>
        <v>7504</v>
      </c>
      <c r="Q151" s="54">
        <f>IF(Input!Q60=0,0,INT((Input!Q60*8.33/100)+0.5))</f>
        <v>7504</v>
      </c>
      <c r="R151" s="54">
        <f>IF(Input!R60=0,0,INT((Input!R60*8.33/100)+0.5))</f>
        <v>7933</v>
      </c>
      <c r="S151" s="56">
        <f>IF(S150=0,0,S150*8.33/100)</f>
        <v>96171.6826</v>
      </c>
      <c r="T151" s="148"/>
      <c r="U151" s="142"/>
      <c r="V151" s="142"/>
    </row>
    <row r="152" spans="1:22" ht="30" x14ac:dyDescent="0.25">
      <c r="A152" s="127">
        <v>39356</v>
      </c>
      <c r="B152" s="186">
        <f>Input!M$40</f>
        <v>0</v>
      </c>
      <c r="D152" s="136"/>
      <c r="E152" s="130"/>
      <c r="F152" s="51" t="s">
        <v>112</v>
      </c>
      <c r="G152" s="54">
        <f>IF(Input!G60&lt;=$U$7,INT((Input!G60*8.33%)+0.5),INT(($U$7*8.33%)+0.5))</f>
        <v>1250</v>
      </c>
      <c r="H152" s="54">
        <f>IF(Input!H60&lt;=$U$7,INT((Input!H60*8.33%)+0.5),INT(($U$7*8.33%)+0.5))</f>
        <v>1250</v>
      </c>
      <c r="I152" s="54">
        <f>IF(Input!I60&lt;=$U$7,INT((Input!I60*8.33%)+0.5),INT(($U$7*8.33%)+0.5))</f>
        <v>1250</v>
      </c>
      <c r="J152" s="54">
        <f>IF(Input!J60&lt;=$U$7,INT((Input!J60*8.33%)+0.5),INT(($U$7*8.33%)+0.5))</f>
        <v>1250</v>
      </c>
      <c r="K152" s="54">
        <f>IF(Input!K60&lt;=$U$7,INT((Input!K60*8.33%)+0.5),INT(($U$7*8.33%)+0.5))</f>
        <v>1250</v>
      </c>
      <c r="L152" s="54">
        <f>IF(Input!L60&lt;=$U$7,INT((Input!L60*8.33%)+0.5),INT(($U$7*8.33%)+0.5))</f>
        <v>1250</v>
      </c>
      <c r="M152" s="54">
        <f>IF(Input!M60&lt;=$U$7,INT((Input!M60*8.33%)+0.5),INT(($U$7*8.33%)+0.5))</f>
        <v>1250</v>
      </c>
      <c r="N152" s="54">
        <f>IF(Input!N60&lt;=$U$7,INT((Input!N60*8.33%)+0.5),INT(($U$7*8.33%)+0.5))</f>
        <v>1250</v>
      </c>
      <c r="O152" s="54">
        <f>IF(Input!O60&lt;=$U$7,INT((Input!O60*8.33%)+0.5),INT(($U$7*8.33%)+0.5))</f>
        <v>1250</v>
      </c>
      <c r="P152" s="54">
        <f>IF(Input!P60&lt;=$U$7,INT((Input!P60*8.33%)+0.5),INT(($U$7*8.33%)+0.5))</f>
        <v>1250</v>
      </c>
      <c r="Q152" s="54">
        <f>IF(Input!Q60&lt;=$U$7,INT((Input!Q60*8.33%)+0.5),INT(($U$7*8.33%)+0.5))</f>
        <v>1250</v>
      </c>
      <c r="R152" s="54">
        <f>IF(Input!R60&lt;=$U$7,INT((Input!R60*8.33%)+0.5),INT(($U$7*8.33%)+0.5))</f>
        <v>1250</v>
      </c>
      <c r="S152" s="56">
        <f>IF(S150=0,0,$U$7*8.33%)</f>
        <v>1249.5</v>
      </c>
      <c r="T152" s="148"/>
      <c r="U152" s="142"/>
      <c r="V152" s="142"/>
    </row>
    <row r="153" spans="1:22" ht="45" x14ac:dyDescent="0.25">
      <c r="A153" s="127">
        <v>39387</v>
      </c>
      <c r="B153" s="186">
        <f>Input!N$40</f>
        <v>0</v>
      </c>
      <c r="D153" s="136"/>
      <c r="E153" s="130"/>
      <c r="F153" s="101" t="s">
        <v>208</v>
      </c>
      <c r="G153" s="100">
        <f>IF(Input!G60&lt;=$U$7,0,INT(((Input!G60-$U$7)*1.16%)+0.5))</f>
        <v>709</v>
      </c>
      <c r="H153" s="100">
        <f>IF(Input!H60&lt;=$U$7,0,INT(((Input!H60-$U$7)*1.16%)+0.5))</f>
        <v>709</v>
      </c>
      <c r="I153" s="100">
        <f>IF(Input!I60&lt;=$U$7,0,INT(((Input!I60-$U$7)*1.16%)+0.5))</f>
        <v>1987</v>
      </c>
      <c r="J153" s="100">
        <f>IF(Input!J60&lt;=$U$7,0,INT(((Input!J60-$U$7)*1.16%)+0.5))</f>
        <v>861</v>
      </c>
      <c r="K153" s="100">
        <f>IF(Input!K60&lt;=$U$7,0,INT(((Input!K60-$U$7)*1.16%)+0.5))</f>
        <v>861</v>
      </c>
      <c r="L153" s="100">
        <f>IF(Input!L60&lt;=$U$7,0,INT(((Input!L60-$U$7)*1.16%)+0.5))</f>
        <v>891</v>
      </c>
      <c r="M153" s="100">
        <f>IF(Input!M60&lt;=$U$7,0,INT(((Input!M60-$U$7)*1.16%)+0.5))</f>
        <v>871</v>
      </c>
      <c r="N153" s="100">
        <f>IF(Input!N60&lt;=$U$7,0,INT(((Input!N60-$U$7)*1.16%)+0.5))</f>
        <v>871</v>
      </c>
      <c r="O153" s="100">
        <f>IF(Input!O60&lt;=$U$7,0,INT(((Input!O60-$U$7)*1.16%)+0.5))</f>
        <v>871</v>
      </c>
      <c r="P153" s="100">
        <f>IF(Input!P60&lt;=$U$7,0,INT(((Input!P60-$U$7)*1.16%)+0.5))</f>
        <v>871</v>
      </c>
      <c r="Q153" s="100">
        <f>IF(Input!Q60&lt;=$U$7,0,INT(((Input!Q60-$U$7)*1.16%)+0.5))</f>
        <v>871</v>
      </c>
      <c r="R153" s="100">
        <f>IF(Input!R60&lt;=$U$7,0,INT(((Input!R60-$U$7)*1.16%)+0.5))</f>
        <v>931</v>
      </c>
      <c r="S153" s="102">
        <f>SUM(G153:R153)</f>
        <v>11304</v>
      </c>
      <c r="T153" s="148"/>
      <c r="U153" s="142"/>
      <c r="V153" s="142"/>
    </row>
    <row r="154" spans="1:22" ht="30" x14ac:dyDescent="0.25">
      <c r="A154" s="127">
        <v>39417</v>
      </c>
      <c r="B154" s="186">
        <f>Input!O$40</f>
        <v>0</v>
      </c>
      <c r="D154" s="136"/>
      <c r="E154" s="130"/>
      <c r="F154" s="51" t="s">
        <v>113</v>
      </c>
      <c r="G154" s="55">
        <f t="shared" ref="G154:R154" si="55">IF(G151-G152&lt;=0,0,G151-G152)</f>
        <v>5094</v>
      </c>
      <c r="H154" s="55">
        <f t="shared" si="55"/>
        <v>5094</v>
      </c>
      <c r="I154" s="55">
        <f t="shared" si="55"/>
        <v>14265</v>
      </c>
      <c r="J154" s="55">
        <f t="shared" si="55"/>
        <v>6183</v>
      </c>
      <c r="K154" s="55">
        <f t="shared" si="55"/>
        <v>6183</v>
      </c>
      <c r="L154" s="55">
        <f t="shared" si="55"/>
        <v>6397</v>
      </c>
      <c r="M154" s="55">
        <f t="shared" si="55"/>
        <v>6254</v>
      </c>
      <c r="N154" s="55">
        <f t="shared" si="55"/>
        <v>6254</v>
      </c>
      <c r="O154" s="55">
        <f t="shared" si="55"/>
        <v>6254</v>
      </c>
      <c r="P154" s="55">
        <f t="shared" si="55"/>
        <v>6254</v>
      </c>
      <c r="Q154" s="55">
        <f t="shared" si="55"/>
        <v>6254</v>
      </c>
      <c r="R154" s="55">
        <f t="shared" si="55"/>
        <v>6683</v>
      </c>
      <c r="S154" s="56">
        <f>S151-S152+S153</f>
        <v>106226.1826</v>
      </c>
      <c r="T154" s="148"/>
      <c r="U154" s="142"/>
      <c r="V154" s="142"/>
    </row>
    <row r="155" spans="1:22" x14ac:dyDescent="0.25">
      <c r="A155" s="127">
        <v>39448</v>
      </c>
      <c r="B155" s="186">
        <f>Input!P$40</f>
        <v>0</v>
      </c>
      <c r="D155" s="136"/>
      <c r="E155" s="130" t="s">
        <v>114</v>
      </c>
      <c r="F155" s="51" t="s">
        <v>115</v>
      </c>
      <c r="G155" s="56">
        <f>IF(G150=0,0,IF($T$11&lt;=Input!G59,0,R147+R148+U148))</f>
        <v>469082.09583742061</v>
      </c>
      <c r="H155" s="56">
        <f>IF(H150=0,0,IF($T$11&lt;=Input!H59,0,G154+G155))</f>
        <v>474176.09583742061</v>
      </c>
      <c r="I155" s="56">
        <f>IF(I150=0,0,IF($T$11&lt;=Input!I59,0,H154+H155))</f>
        <v>479270.09583742061</v>
      </c>
      <c r="J155" s="56">
        <f>IF(J150=0,0,IF($T$11&lt;=Input!J59,0,I154+I155))</f>
        <v>493535.09583742061</v>
      </c>
      <c r="K155" s="56">
        <f>IF(K150=0,0,IF($T$11&lt;=Input!K59,0,J154+J155))</f>
        <v>499718.09583742061</v>
      </c>
      <c r="L155" s="56">
        <f>IF(L150=0,0,IF($T$11&lt;=Input!L59,0,K154+K155))</f>
        <v>505901.09583742061</v>
      </c>
      <c r="M155" s="56">
        <f>IF(M150=0,0,IF($T$11&lt;=Input!M59,0,L154+L155))</f>
        <v>512298.09583742061</v>
      </c>
      <c r="N155" s="56">
        <f>IF(N150=0,0,IF($T$11&lt;=Input!N59,0,M154+M155))</f>
        <v>518552.09583742061</v>
      </c>
      <c r="O155" s="56">
        <f>IF(O150=0,0,IF($T$11&lt;=Input!O59,0,N154+N155))</f>
        <v>524806.09583742055</v>
      </c>
      <c r="P155" s="56">
        <f>IF(P150=0,0,IF($T$11&lt;=Input!P59,0,O154+O155))</f>
        <v>531060.09583742055</v>
      </c>
      <c r="Q155" s="56">
        <f>IF(Q150=0,0,IF($T$11&lt;=Input!Q59,0,P154+P155))</f>
        <v>537314.09583742055</v>
      </c>
      <c r="R155" s="56">
        <f>IF(R150=0,0,IF($T$11&lt;=Input!R59,0,Q154+Q155))</f>
        <v>543568.09583742055</v>
      </c>
      <c r="S155" s="48"/>
      <c r="T155" s="106">
        <f>SUM(G154:R154)</f>
        <v>81169</v>
      </c>
      <c r="U155" s="55">
        <f>SUM(G156:R156)</f>
        <v>43386.12819409946</v>
      </c>
      <c r="V155" s="55">
        <f>SUM(T155,U155)</f>
        <v>124555.12819409947</v>
      </c>
    </row>
    <row r="156" spans="1:22" x14ac:dyDescent="0.25">
      <c r="A156" s="127">
        <v>39479</v>
      </c>
      <c r="B156" s="186">
        <f>Input!Q$40</f>
        <v>0</v>
      </c>
      <c r="D156" s="136"/>
      <c r="E156" s="58">
        <v>8.5500000000000007E-2</v>
      </c>
      <c r="F156" s="59" t="s">
        <v>116</v>
      </c>
      <c r="G156" s="64">
        <f t="shared" ref="G156:R156" si="56">G155/12*$E156</f>
        <v>3342.209932841622</v>
      </c>
      <c r="H156" s="55">
        <f t="shared" si="56"/>
        <v>3378.5046828416221</v>
      </c>
      <c r="I156" s="55">
        <f t="shared" si="56"/>
        <v>3414.7994328416221</v>
      </c>
      <c r="J156" s="55">
        <f t="shared" si="56"/>
        <v>3516.437557841622</v>
      </c>
      <c r="K156" s="55">
        <f t="shared" si="56"/>
        <v>3560.4914328416221</v>
      </c>
      <c r="L156" s="55">
        <f t="shared" si="56"/>
        <v>3604.5453078416217</v>
      </c>
      <c r="M156" s="55">
        <f t="shared" si="56"/>
        <v>3650.1239328416223</v>
      </c>
      <c r="N156" s="55">
        <f t="shared" si="56"/>
        <v>3694.6836828416217</v>
      </c>
      <c r="O156" s="55">
        <f t="shared" si="56"/>
        <v>3739.2434328416216</v>
      </c>
      <c r="P156" s="55">
        <f t="shared" si="56"/>
        <v>3783.8031828416215</v>
      </c>
      <c r="Q156" s="55">
        <f t="shared" si="56"/>
        <v>3828.3629328416218</v>
      </c>
      <c r="R156" s="55">
        <f t="shared" si="56"/>
        <v>3872.9226828416217</v>
      </c>
      <c r="S156" s="48"/>
      <c r="T156" s="107">
        <f>SUM(T19,T25,T31,T37,T43,T49,T55,T61,T67,T73,T79,T85,T91,T97,T103,T109,T115,T121,T127,T134,T141,T148,T155)</f>
        <v>422239</v>
      </c>
      <c r="U156" s="62">
        <f>SUM(U19,U25,U31,U37,U43,U49,U55,U61,U67,U73,U79,U85,U91,U97,U103,U109,U115,U121,U127,U134,U141,U148,U155)</f>
        <v>171398.22403152005</v>
      </c>
      <c r="V156" s="62">
        <f>SUM(V19,V25,V31,V37,V43,V49,V55,V61,V67,V73,V79,V85,V91,V97,V103,V109,V115,V121,V127,V134,V141,V148,V155)</f>
        <v>593637.22403152008</v>
      </c>
    </row>
    <row r="157" spans="1:22" x14ac:dyDescent="0.25">
      <c r="A157" s="127">
        <v>39508</v>
      </c>
      <c r="B157" s="186">
        <f>Input!R$40</f>
        <v>0</v>
      </c>
      <c r="D157" s="135">
        <v>24</v>
      </c>
      <c r="E157" s="130" t="s">
        <v>140</v>
      </c>
      <c r="F157" s="47" t="s">
        <v>109</v>
      </c>
      <c r="G157" s="77">
        <v>43191</v>
      </c>
      <c r="H157" s="77">
        <v>43221</v>
      </c>
      <c r="I157" s="77">
        <v>43252</v>
      </c>
      <c r="J157" s="77">
        <v>43282</v>
      </c>
      <c r="K157" s="77">
        <v>43313</v>
      </c>
      <c r="L157" s="77">
        <v>43344</v>
      </c>
      <c r="M157" s="77">
        <v>43374</v>
      </c>
      <c r="N157" s="77">
        <v>43405</v>
      </c>
      <c r="O157" s="77">
        <v>43435</v>
      </c>
      <c r="P157" s="77">
        <v>43466</v>
      </c>
      <c r="Q157" s="77">
        <v>43497</v>
      </c>
      <c r="R157" s="77">
        <v>43525</v>
      </c>
      <c r="S157" s="156">
        <f>SUM(Input!G62:R62)</f>
        <v>1150578</v>
      </c>
      <c r="T157" s="146"/>
      <c r="U157" s="131"/>
      <c r="V157" s="131"/>
    </row>
    <row r="158" spans="1:22" x14ac:dyDescent="0.25">
      <c r="A158" s="127">
        <v>39539</v>
      </c>
      <c r="B158" s="186">
        <f>Input!G$42</f>
        <v>0</v>
      </c>
      <c r="D158" s="136"/>
      <c r="E158" s="130"/>
      <c r="F158" s="51" t="s">
        <v>110</v>
      </c>
      <c r="G158" s="54">
        <f>IF(Input!G62=0,0,INT((Input!G62*8.33/100)+0.5))</f>
        <v>7647</v>
      </c>
      <c r="H158" s="54">
        <f>IF(Input!H62=0,0,INT((Input!H62*8.33/100)+0.5))</f>
        <v>7647</v>
      </c>
      <c r="I158" s="54">
        <f>IF(Input!I62=0,0,INT((Input!I62*8.33/100)+0.5))</f>
        <v>7647</v>
      </c>
      <c r="J158" s="54">
        <f>IF(Input!J62=0,0,INT((Input!J62*8.33/100)+0.5))</f>
        <v>7879</v>
      </c>
      <c r="K158" s="54">
        <f>IF(Input!K62=0,0,INT((Input!K62*8.33/100)+0.5))</f>
        <v>8174</v>
      </c>
      <c r="L158" s="54">
        <f>IF(Input!L62=0,0,INT((Input!L62*8.33/100)+0.5))</f>
        <v>8026</v>
      </c>
      <c r="M158" s="54">
        <f>IF(Input!M62=0,0,INT((Input!M62*8.33/100)+0.5))</f>
        <v>8026</v>
      </c>
      <c r="N158" s="54">
        <f>IF(Input!N62=0,0,INT((Input!N62*8.33/100)+0.5))</f>
        <v>8026</v>
      </c>
      <c r="O158" s="54">
        <f>IF(Input!O62=0,0,INT((Input!O62*8.33/100)+0.5))</f>
        <v>8026</v>
      </c>
      <c r="P158" s="54">
        <f>IF(Input!P62=0,0,INT((Input!P62*8.33/100)+0.5))</f>
        <v>8026</v>
      </c>
      <c r="Q158" s="54">
        <f>IF(Input!Q62=0,0,INT((Input!Q62*8.33/100)+0.5))</f>
        <v>8026</v>
      </c>
      <c r="R158" s="54">
        <f>IF(Input!R62=0,0,INT((Input!R62*8.33/100)+0.5))</f>
        <v>8689</v>
      </c>
      <c r="S158" s="56">
        <f>IF(S157=0,0,S157*8.33/100)</f>
        <v>95843.147400000002</v>
      </c>
      <c r="T158" s="146"/>
      <c r="U158" s="131"/>
      <c r="V158" s="131"/>
    </row>
    <row r="159" spans="1:22" ht="30" x14ac:dyDescent="0.25">
      <c r="A159" s="127">
        <v>39569</v>
      </c>
      <c r="B159" s="186">
        <f>Input!H$42</f>
        <v>0</v>
      </c>
      <c r="D159" s="136"/>
      <c r="E159" s="130"/>
      <c r="F159" s="51" t="s">
        <v>112</v>
      </c>
      <c r="G159" s="54">
        <f>IF(Input!G62&lt;=$U$7,INT((Input!G62*8.33%)+0.5),INT(($U$7*8.33%)+0.5))</f>
        <v>1250</v>
      </c>
      <c r="H159" s="54">
        <f>IF(Input!H62&lt;=$U$7,INT((Input!H62*8.33%)+0.5),INT(($U$7*8.33%)+0.5))</f>
        <v>1250</v>
      </c>
      <c r="I159" s="54">
        <f>IF(Input!I62&lt;=$U$7,INT((Input!I62*8.33%)+0.5),INT(($U$7*8.33%)+0.5))</f>
        <v>1250</v>
      </c>
      <c r="J159" s="54">
        <f>IF(Input!J62&lt;=$U$7,INT((Input!J62*8.33%)+0.5),INT(($U$7*8.33%)+0.5))</f>
        <v>1250</v>
      </c>
      <c r="K159" s="54">
        <f>IF(Input!K62&lt;=$U$7,INT((Input!K62*8.33%)+0.5),INT(($U$7*8.33%)+0.5))</f>
        <v>1250</v>
      </c>
      <c r="L159" s="54">
        <f>IF(Input!L62&lt;=$U$7,INT((Input!L62*8.33%)+0.5),INT(($U$7*8.33%)+0.5))</f>
        <v>1250</v>
      </c>
      <c r="M159" s="54">
        <f>IF(Input!M62&lt;=$U$7,INT((Input!M62*8.33%)+0.5),INT(($U$7*8.33%)+0.5))</f>
        <v>1250</v>
      </c>
      <c r="N159" s="54">
        <f>IF(Input!N62&lt;=$U$7,INT((Input!N62*8.33%)+0.5),INT(($U$7*8.33%)+0.5))</f>
        <v>1250</v>
      </c>
      <c r="O159" s="54">
        <f>IF(Input!O62&lt;=$U$7,INT((Input!O62*8.33%)+0.5),INT(($U$7*8.33%)+0.5))</f>
        <v>1250</v>
      </c>
      <c r="P159" s="54">
        <f>IF(Input!P62&lt;=$U$7,INT((Input!P62*8.33%)+0.5),INT(($U$7*8.33%)+0.5))</f>
        <v>1250</v>
      </c>
      <c r="Q159" s="54">
        <f>IF(Input!Q62&lt;=$U$7,INT((Input!Q62*8.33%)+0.5),INT(($U$7*8.33%)+0.5))</f>
        <v>1250</v>
      </c>
      <c r="R159" s="54">
        <f>IF(Input!R62&lt;=$U$7,INT((Input!R62*8.33%)+0.5),INT(($U$7*8.33%)+0.5))</f>
        <v>1250</v>
      </c>
      <c r="S159" s="56">
        <f>IF(S157=0,0,$U$7*8.33%)</f>
        <v>1249.5</v>
      </c>
      <c r="T159" s="146"/>
      <c r="U159" s="131"/>
      <c r="V159" s="131"/>
    </row>
    <row r="160" spans="1:22" ht="45" x14ac:dyDescent="0.25">
      <c r="A160" s="127">
        <v>39600</v>
      </c>
      <c r="B160" s="186">
        <f>Input!I$42</f>
        <v>0</v>
      </c>
      <c r="D160" s="136"/>
      <c r="E160" s="130"/>
      <c r="F160" s="101" t="s">
        <v>208</v>
      </c>
      <c r="G160" s="100">
        <f>IF(Input!G62&lt;=$U$7,0,INT(((Input!G62-$U$7)*1.16%)+0.5))</f>
        <v>891</v>
      </c>
      <c r="H160" s="100">
        <f>IF(Input!H62&lt;=$U$7,0,INT(((Input!H62-$U$7)*1.16%)+0.5))</f>
        <v>891</v>
      </c>
      <c r="I160" s="100">
        <f>IF(Input!I62&lt;=$U$7,0,INT(((Input!I62-$U$7)*1.16%)+0.5))</f>
        <v>891</v>
      </c>
      <c r="J160" s="100">
        <f>IF(Input!J62&lt;=$U$7,0,INT(((Input!J62-$U$7)*1.16%)+0.5))</f>
        <v>923</v>
      </c>
      <c r="K160" s="100">
        <f>IF(Input!K62&lt;=$U$7,0,INT(((Input!K62-$U$7)*1.16%)+0.5))</f>
        <v>964</v>
      </c>
      <c r="L160" s="100">
        <f>IF(Input!L62&lt;=$U$7,0,INT(((Input!L62-$U$7)*1.16%)+0.5))</f>
        <v>944</v>
      </c>
      <c r="M160" s="100">
        <f>IF(Input!M62&lt;=$U$7,0,INT(((Input!M62-$U$7)*1.16%)+0.5))</f>
        <v>944</v>
      </c>
      <c r="N160" s="100">
        <f>IF(Input!N62&lt;=$U$7,0,INT(((Input!N62-$U$7)*1.16%)+0.5))</f>
        <v>944</v>
      </c>
      <c r="O160" s="100">
        <f>IF(Input!O62&lt;=$U$7,0,INT(((Input!O62-$U$7)*1.16%)+0.5))</f>
        <v>944</v>
      </c>
      <c r="P160" s="100">
        <f>IF(Input!P62&lt;=$U$7,0,INT(((Input!P62-$U$7)*1.16%)+0.5))</f>
        <v>944</v>
      </c>
      <c r="Q160" s="100">
        <f>IF(Input!Q62&lt;=$U$7,0,INT(((Input!Q62-$U$7)*1.16%)+0.5))</f>
        <v>944</v>
      </c>
      <c r="R160" s="100">
        <f>IF(Input!R62&lt;=$U$7,0,INT(((Input!R62-$U$7)*1.16%)+0.5))</f>
        <v>1036</v>
      </c>
      <c r="S160" s="102">
        <f>SUM(G160:R160)</f>
        <v>11260</v>
      </c>
      <c r="T160" s="146"/>
      <c r="U160" s="131"/>
      <c r="V160" s="131"/>
    </row>
    <row r="161" spans="1:22" ht="30" x14ac:dyDescent="0.25">
      <c r="A161" s="127">
        <v>39630</v>
      </c>
      <c r="B161" s="186">
        <f>Input!J$42</f>
        <v>0</v>
      </c>
      <c r="D161" s="136"/>
      <c r="E161" s="130"/>
      <c r="F161" s="51" t="s">
        <v>113</v>
      </c>
      <c r="G161" s="55">
        <f t="shared" ref="G161:R161" si="57">IF(G158-G159&lt;=0,0,G158-G159)</f>
        <v>6397</v>
      </c>
      <c r="H161" s="55">
        <f t="shared" si="57"/>
        <v>6397</v>
      </c>
      <c r="I161" s="55">
        <f t="shared" si="57"/>
        <v>6397</v>
      </c>
      <c r="J161" s="55">
        <f t="shared" si="57"/>
        <v>6629</v>
      </c>
      <c r="K161" s="55">
        <f t="shared" si="57"/>
        <v>6924</v>
      </c>
      <c r="L161" s="55">
        <f t="shared" si="57"/>
        <v>6776</v>
      </c>
      <c r="M161" s="55">
        <f t="shared" si="57"/>
        <v>6776</v>
      </c>
      <c r="N161" s="55">
        <f t="shared" si="57"/>
        <v>6776</v>
      </c>
      <c r="O161" s="55">
        <f t="shared" si="57"/>
        <v>6776</v>
      </c>
      <c r="P161" s="55">
        <f t="shared" si="57"/>
        <v>6776</v>
      </c>
      <c r="Q161" s="55">
        <f t="shared" si="57"/>
        <v>6776</v>
      </c>
      <c r="R161" s="55">
        <f t="shared" si="57"/>
        <v>7439</v>
      </c>
      <c r="S161" s="56">
        <f>S158-S159+S160</f>
        <v>105853.6474</v>
      </c>
      <c r="T161" s="146"/>
      <c r="U161" s="131"/>
      <c r="V161" s="131"/>
    </row>
    <row r="162" spans="1:22" x14ac:dyDescent="0.25">
      <c r="A162" s="127">
        <v>39661</v>
      </c>
      <c r="B162" s="186">
        <f>Input!K$42</f>
        <v>0</v>
      </c>
      <c r="D162" s="136"/>
      <c r="E162" s="130" t="s">
        <v>114</v>
      </c>
      <c r="F162" s="51" t="s">
        <v>115</v>
      </c>
      <c r="G162" s="56">
        <f>IF(G157=0,0,IF($T$11&lt;=Input!G61,0,R154+R155+U155))</f>
        <v>593637.22403151996</v>
      </c>
      <c r="H162" s="56">
        <f>IF(H157=0,0,IF($T$11&lt;=Input!H61,0,G161+G162))</f>
        <v>600034.22403151996</v>
      </c>
      <c r="I162" s="56">
        <f>IF(I157=0,0,IF($T$11&lt;=Input!I61,0,H161+H162))</f>
        <v>606431.22403151996</v>
      </c>
      <c r="J162" s="56">
        <f>IF(J157=0,0,IF($T$11&lt;=Input!J61,0,I161+I162))</f>
        <v>612828.22403151996</v>
      </c>
      <c r="K162" s="56">
        <f>IF(K157=0,0,IF($T$11&lt;=Input!K61,0,J161+J162))</f>
        <v>619457.22403151996</v>
      </c>
      <c r="L162" s="56">
        <f>IF(L157=0,0,IF($T$11&lt;=Input!L61,0,K161+K162))</f>
        <v>626381.22403151996</v>
      </c>
      <c r="M162" s="56">
        <f>IF(M157=0,0,IF($T$11&lt;=Input!M61,0,L161+L162))</f>
        <v>633157.22403151996</v>
      </c>
      <c r="N162" s="56">
        <f>IF(N157=0,0,IF($T$11&lt;=Input!N61,0,M161+M162))</f>
        <v>639933.22403151996</v>
      </c>
      <c r="O162" s="56">
        <f>IF(O157=0,0,IF($T$11&lt;=Input!O61,0,N161+N162))</f>
        <v>646709.22403151996</v>
      </c>
      <c r="P162" s="56">
        <f>IF(P157=0,0,IF($T$11&lt;=Input!P61,0,O161+O162))</f>
        <v>653485.22403151996</v>
      </c>
      <c r="Q162" s="56">
        <f>IF(Q157=0,0,IF($T$11&lt;=Input!Q61,0,P161+P162))</f>
        <v>660261.22403151996</v>
      </c>
      <c r="R162" s="56">
        <f>IF(R157=0,0,IF($T$11&lt;=Input!R61,0,Q161+Q162))</f>
        <v>667037.22403151996</v>
      </c>
      <c r="S162" s="48"/>
      <c r="T162" s="106">
        <f>SUM(G161:R161)</f>
        <v>80839</v>
      </c>
      <c r="U162" s="55">
        <f>SUM(G163:R163)</f>
        <v>54490.333962059798</v>
      </c>
      <c r="V162" s="55">
        <f>SUM(T162,U162)</f>
        <v>135329.33396205981</v>
      </c>
    </row>
    <row r="163" spans="1:22" x14ac:dyDescent="0.25">
      <c r="A163" s="127">
        <v>39692</v>
      </c>
      <c r="B163" s="186">
        <f>Input!L$42</f>
        <v>0</v>
      </c>
      <c r="D163" s="136"/>
      <c r="E163" s="58">
        <v>8.6499999999999994E-2</v>
      </c>
      <c r="F163" s="59" t="s">
        <v>116</v>
      </c>
      <c r="G163" s="64">
        <f t="shared" ref="G163:R163" si="58">G162/12*$E163</f>
        <v>4279.1349898938724</v>
      </c>
      <c r="H163" s="55">
        <f t="shared" si="58"/>
        <v>4325.2466982272063</v>
      </c>
      <c r="I163" s="55">
        <f t="shared" si="58"/>
        <v>4371.3584065605392</v>
      </c>
      <c r="J163" s="55">
        <f t="shared" si="58"/>
        <v>4417.4701148938721</v>
      </c>
      <c r="K163" s="55">
        <f t="shared" si="58"/>
        <v>4465.2541565605397</v>
      </c>
      <c r="L163" s="55">
        <f t="shared" si="58"/>
        <v>4515.1646565605397</v>
      </c>
      <c r="M163" s="55">
        <f t="shared" si="58"/>
        <v>4564.0083232272063</v>
      </c>
      <c r="N163" s="55">
        <f t="shared" si="58"/>
        <v>4612.8519898938721</v>
      </c>
      <c r="O163" s="55">
        <f t="shared" si="58"/>
        <v>4661.6956565605396</v>
      </c>
      <c r="P163" s="55">
        <f t="shared" si="58"/>
        <v>4710.5393232272063</v>
      </c>
      <c r="Q163" s="55">
        <f t="shared" si="58"/>
        <v>4759.382989893872</v>
      </c>
      <c r="R163" s="55">
        <f t="shared" si="58"/>
        <v>4808.2266565605396</v>
      </c>
      <c r="S163" s="48"/>
      <c r="T163" s="107">
        <f>SUM(T19,T25,T31,T37,T43,T49,T55,T61,T67,T73,T79,T85,T91,T97,T103,T109,T115,T121,T127,T134,T141,T148,T155,T162)</f>
        <v>503078</v>
      </c>
      <c r="U163" s="62">
        <f>SUM(U19,U25,U31,U37,U43,U49,U55,U61,U67,U73,U79,U85,U91,U97,U103,U109,U115,U121,U127,U134,U141,U148,U155,U162)</f>
        <v>225888.55799357983</v>
      </c>
      <c r="V163" s="62">
        <f>SUM(V19,V25,V31,V37,V43,V49,V55,V61,V67,V73,V79,V85,V91,V97,V103,V109,V115,V121,V127,V134,V141,V148,V155,V162)</f>
        <v>728966.55799357989</v>
      </c>
    </row>
    <row r="164" spans="1:22" x14ac:dyDescent="0.25">
      <c r="A164" s="127">
        <v>39722</v>
      </c>
      <c r="B164" s="186">
        <f>Input!M$42</f>
        <v>0</v>
      </c>
      <c r="D164" s="135">
        <v>25</v>
      </c>
      <c r="E164" s="130" t="s">
        <v>141</v>
      </c>
      <c r="F164" s="47" t="s">
        <v>109</v>
      </c>
      <c r="G164" s="63">
        <v>43556</v>
      </c>
      <c r="H164" s="63">
        <v>43586</v>
      </c>
      <c r="I164" s="63">
        <v>43617</v>
      </c>
      <c r="J164" s="63">
        <v>43647</v>
      </c>
      <c r="K164" s="63">
        <v>43678</v>
      </c>
      <c r="L164" s="63">
        <v>43709</v>
      </c>
      <c r="M164" s="63">
        <v>43739</v>
      </c>
      <c r="N164" s="63">
        <v>43770</v>
      </c>
      <c r="O164" s="63">
        <v>43800</v>
      </c>
      <c r="P164" s="63">
        <v>43831</v>
      </c>
      <c r="Q164" s="63">
        <v>43862</v>
      </c>
      <c r="R164" s="77">
        <v>43891</v>
      </c>
      <c r="S164" s="156">
        <f>SUM(Input!G64:R64)</f>
        <v>1217671</v>
      </c>
      <c r="T164" s="149"/>
      <c r="U164" s="129"/>
      <c r="V164" s="129"/>
    </row>
    <row r="165" spans="1:22" x14ac:dyDescent="0.25">
      <c r="A165" s="127">
        <v>39753</v>
      </c>
      <c r="B165" s="186">
        <f>Input!N$42</f>
        <v>0</v>
      </c>
      <c r="D165" s="136"/>
      <c r="E165" s="130"/>
      <c r="F165" s="51" t="s">
        <v>110</v>
      </c>
      <c r="G165" s="54">
        <f>IF(Input!G64=0,0,INT((Input!G64*8.33/100)+0.5))</f>
        <v>8247</v>
      </c>
      <c r="H165" s="54">
        <f>IF(Input!H64=0,0,INT((Input!H64*8.33/100)+0.5))</f>
        <v>8247</v>
      </c>
      <c r="I165" s="56">
        <f>IF(Input!I64=0,0,Input!I64*8.33/100)</f>
        <v>8247.3664000000008</v>
      </c>
      <c r="J165" s="56">
        <f>IF(Input!J64=0,0,Input!J64*8.33/100)</f>
        <v>5418.4151000000002</v>
      </c>
      <c r="K165" s="56">
        <f>IF(Input!K64=0,0,Input!K64*8.33/100)</f>
        <v>8499.2656000000006</v>
      </c>
      <c r="L165" s="56">
        <f>IF(Input!L64=0,0,Input!L64*8.33/100)</f>
        <v>9500.0318000000007</v>
      </c>
      <c r="M165" s="56">
        <f>IF(Input!M64=0,0,Input!M64*8.33/100)</f>
        <v>8878.6970999999994</v>
      </c>
      <c r="N165" s="56">
        <f>IF(Input!N64=0,0,Input!N64*8.33/100)</f>
        <v>8878.6970999999994</v>
      </c>
      <c r="O165" s="56">
        <f>IF(Input!O64=0,0,Input!O64*8.33/100)</f>
        <v>8878.6970999999994</v>
      </c>
      <c r="P165" s="56">
        <f>IF(Input!P64=0,0,Input!P64*8.33/100)</f>
        <v>8878.6970999999994</v>
      </c>
      <c r="Q165" s="56">
        <f>IF(Input!Q64=0,0,Input!Q64*8.33/100)</f>
        <v>8878.6970999999994</v>
      </c>
      <c r="R165" s="56">
        <f>IF(Input!R64=0,0,Input!R64*8.33/100)</f>
        <v>8878.6970999999994</v>
      </c>
      <c r="S165" s="56">
        <f>IF(S164=0,0,S164*8.33/100)</f>
        <v>101431.99429999999</v>
      </c>
      <c r="T165" s="149"/>
      <c r="U165" s="129"/>
      <c r="V165" s="129"/>
    </row>
    <row r="166" spans="1:22" ht="30" x14ac:dyDescent="0.25">
      <c r="A166" s="127">
        <v>39783</v>
      </c>
      <c r="B166" s="186">
        <f>Input!O$42</f>
        <v>0</v>
      </c>
      <c r="D166" s="136"/>
      <c r="E166" s="130"/>
      <c r="F166" s="51" t="s">
        <v>112</v>
      </c>
      <c r="G166" s="54">
        <f>IF(Input!G64&lt;=$U$7,INT((Input!G64*8.33%)+0.5),INT(($U$7*8.33%)+0.5))</f>
        <v>1250</v>
      </c>
      <c r="H166" s="54">
        <f>IF(Input!H64&lt;=$U$7,INT((Input!H64*8.33%)+0.5),INT(($U$7*8.33%)+0.5))</f>
        <v>1250</v>
      </c>
      <c r="I166" s="54">
        <f>IF(Input!I64&lt;=$U$7,INT((Input!I64*8.33%)+0.5),INT(($U$7*8.33%)+0.5))</f>
        <v>1250</v>
      </c>
      <c r="J166" s="54">
        <f>IF(Input!J64&lt;=$U$7,INT((Input!J64*8.33%)+0.5),INT(($U$7*8.33%)+0.5))</f>
        <v>1250</v>
      </c>
      <c r="K166" s="54">
        <f>IF(Input!K64&lt;=$U$7,INT((Input!K64*8.33%)+0.5),INT(($U$7*8.33%)+0.5))</f>
        <v>1250</v>
      </c>
      <c r="L166" s="54">
        <f>IF(Input!L64&lt;=$U$7,INT((Input!L64*8.33%)+0.5),INT(($U$7*8.33%)+0.5))</f>
        <v>1250</v>
      </c>
      <c r="M166" s="54">
        <f>IF(Input!M64&lt;=$U$7,INT((Input!M64*8.33%)+0.5),INT(($U$7*8.33%)+0.5))</f>
        <v>1250</v>
      </c>
      <c r="N166" s="54">
        <f>IF(Input!N64&lt;=$U$7,INT((Input!N64*8.33%)+0.5),INT(($U$7*8.33%)+0.5))</f>
        <v>1250</v>
      </c>
      <c r="O166" s="54">
        <f>IF(Input!O64&lt;=$U$7,INT((Input!O64*8.33%)+0.5),INT(($U$7*8.33%)+0.5))</f>
        <v>1250</v>
      </c>
      <c r="P166" s="54">
        <f>IF(Input!P64&lt;=$U$7,INT((Input!P64*8.33%)+0.5),INT(($U$7*8.33%)+0.5))</f>
        <v>1250</v>
      </c>
      <c r="Q166" s="54">
        <f>IF(Input!Q64&lt;=$U$7,INT((Input!Q64*8.33%)+0.5),INT(($U$7*8.33%)+0.5))</f>
        <v>1250</v>
      </c>
      <c r="R166" s="54">
        <f>IF(Input!R64&lt;=$U$7,INT((Input!R64*8.33%)+0.5),INT(($U$7*8.33%)+0.5))</f>
        <v>1250</v>
      </c>
      <c r="S166" s="56">
        <f>IF(S164=0,0,$U$7*8.33%)</f>
        <v>1249.5</v>
      </c>
      <c r="T166" s="149"/>
      <c r="U166" s="129"/>
      <c r="V166" s="129"/>
    </row>
    <row r="167" spans="1:22" ht="45" x14ac:dyDescent="0.25">
      <c r="A167" s="127">
        <v>39814</v>
      </c>
      <c r="B167" s="186">
        <f>Input!P$42</f>
        <v>0</v>
      </c>
      <c r="D167" s="136"/>
      <c r="E167" s="130"/>
      <c r="F167" s="101" t="s">
        <v>208</v>
      </c>
      <c r="G167" s="100">
        <f>IF(Input!G64&lt;=$U$7,0,INT(((Input!G64-$U$7)*1.16%)+0.5))</f>
        <v>974</v>
      </c>
      <c r="H167" s="100">
        <f>IF(Input!H64&lt;=$U$7,0,INT(((Input!H64-$U$7)*1.16%)+0.5))</f>
        <v>974</v>
      </c>
      <c r="I167" s="100">
        <f>IF(Input!I64&lt;=$U$7,0,INT(((Input!I64-$U$7)*1.16%)+0.5))</f>
        <v>974</v>
      </c>
      <c r="J167" s="100">
        <f>IF(Input!J64&lt;=$U$7,0,INT(((Input!J64-$U$7)*1.16%)+0.5))</f>
        <v>581</v>
      </c>
      <c r="K167" s="100">
        <f>IF(Input!K64&lt;=$U$7,0,INT(((Input!K64-$U$7)*1.16%)+0.5))</f>
        <v>1010</v>
      </c>
      <c r="L167" s="100">
        <f>IF(Input!L64&lt;=$U$7,0,INT(((Input!L64-$U$7)*1.16%)+0.5))</f>
        <v>1149</v>
      </c>
      <c r="M167" s="100">
        <f>IF(Input!M64&lt;=$U$7,0,INT(((Input!M64-$U$7)*1.16%)+0.5))</f>
        <v>1062</v>
      </c>
      <c r="N167" s="100">
        <f>IF(Input!N64&lt;=$U$7,0,INT(((Input!N64-$U$7)*1.16%)+0.5))</f>
        <v>1062</v>
      </c>
      <c r="O167" s="100">
        <f>IF(Input!O64&lt;=$U$7,0,INT(((Input!O64-$U$7)*1.16%)+0.5))</f>
        <v>1062</v>
      </c>
      <c r="P167" s="100">
        <f>IF(Input!P64&lt;=$U$7,0,INT(((Input!P64-$U$7)*1.16%)+0.5))</f>
        <v>1062</v>
      </c>
      <c r="Q167" s="100">
        <f>IF(Input!Q64&lt;=$U$7,0,INT(((Input!Q64-$U$7)*1.16%)+0.5))</f>
        <v>1062</v>
      </c>
      <c r="R167" s="100">
        <f>IF(Input!R64&lt;=$U$7,0,INT(((Input!R64-$U$7)*1.16%)+0.5))</f>
        <v>1062</v>
      </c>
      <c r="S167" s="102">
        <f>SUM(G167:R167)</f>
        <v>12034</v>
      </c>
      <c r="T167" s="149"/>
      <c r="U167" s="129"/>
      <c r="V167" s="129"/>
    </row>
    <row r="168" spans="1:22" ht="30" x14ac:dyDescent="0.25">
      <c r="A168" s="127">
        <v>39845</v>
      </c>
      <c r="B168" s="186">
        <f>Input!Q$42</f>
        <v>0</v>
      </c>
      <c r="D168" s="136"/>
      <c r="E168" s="130"/>
      <c r="F168" s="51" t="s">
        <v>113</v>
      </c>
      <c r="G168" s="55">
        <f t="shared" ref="G168:R168" si="59">IF(G165-G166&lt;=0,0,G165-G166)</f>
        <v>6997</v>
      </c>
      <c r="H168" s="55">
        <f t="shared" si="59"/>
        <v>6997</v>
      </c>
      <c r="I168" s="55">
        <f t="shared" si="59"/>
        <v>6997.3664000000008</v>
      </c>
      <c r="J168" s="55">
        <f t="shared" si="59"/>
        <v>4168.4151000000002</v>
      </c>
      <c r="K168" s="55">
        <f t="shared" si="59"/>
        <v>7249.2656000000006</v>
      </c>
      <c r="L168" s="55">
        <f t="shared" si="59"/>
        <v>8250.0318000000007</v>
      </c>
      <c r="M168" s="55">
        <f t="shared" si="59"/>
        <v>7628.6970999999994</v>
      </c>
      <c r="N168" s="55">
        <f t="shared" si="59"/>
        <v>7628.6970999999994</v>
      </c>
      <c r="O168" s="55">
        <f t="shared" si="59"/>
        <v>7628.6970999999994</v>
      </c>
      <c r="P168" s="55">
        <f t="shared" si="59"/>
        <v>7628.6970999999994</v>
      </c>
      <c r="Q168" s="55">
        <f t="shared" si="59"/>
        <v>7628.6970999999994</v>
      </c>
      <c r="R168" s="55">
        <f t="shared" si="59"/>
        <v>7628.6970999999994</v>
      </c>
      <c r="S168" s="56">
        <f>S165-S166+S167</f>
        <v>112216.49429999999</v>
      </c>
      <c r="T168" s="149"/>
      <c r="U168" s="129"/>
      <c r="V168" s="129"/>
    </row>
    <row r="169" spans="1:22" x14ac:dyDescent="0.25">
      <c r="A169" s="127">
        <v>39873</v>
      </c>
      <c r="B169" s="186">
        <f>Input!R$42</f>
        <v>174178</v>
      </c>
      <c r="D169" s="136"/>
      <c r="E169" s="130" t="s">
        <v>114</v>
      </c>
      <c r="F169" s="51" t="s">
        <v>115</v>
      </c>
      <c r="G169" s="56">
        <f>IF(G164=0,0,IF($T$11&lt;=Input!G63,0,R161+R162+U162))</f>
        <v>728966.55799357977</v>
      </c>
      <c r="H169" s="56">
        <f>IF(H164=0,0,IF($T$11&lt;=Input!H63,0,G168+G169))</f>
        <v>0</v>
      </c>
      <c r="I169" s="56">
        <f>IF(I164=0,0,IF($T$11&lt;=Input!I63,0,H168+H169))</f>
        <v>0</v>
      </c>
      <c r="J169" s="56">
        <f>IF(J164=0,0,IF($T$11&lt;=Input!J63,0,I168+I169))</f>
        <v>0</v>
      </c>
      <c r="K169" s="56">
        <f>IF(K164=0,0,IF($T$11&lt;=Input!K63,0,J168+J169))</f>
        <v>0</v>
      </c>
      <c r="L169" s="56">
        <f>IF(L164=0,0,IF($T$11&lt;=Input!L63,0,K168+K169))</f>
        <v>0</v>
      </c>
      <c r="M169" s="56">
        <f>IF(M164=0,0,IF($T$11&lt;=Input!M63,0,L168+L169))</f>
        <v>0</v>
      </c>
      <c r="N169" s="56">
        <f>IF(N164=0,0,IF($T$11&lt;=Input!N63,0,M168+M169))</f>
        <v>0</v>
      </c>
      <c r="O169" s="56">
        <f>IF(O164=0,0,IF($T$11&lt;=Input!O63,0,N168+N169))</f>
        <v>0</v>
      </c>
      <c r="P169" s="56">
        <f>IF(P164=0,0,IF($T$11&lt;=Input!P63,0,O168+O169))</f>
        <v>0</v>
      </c>
      <c r="Q169" s="56">
        <f>IF(Q164=0,0,IF($T$11&lt;=Input!Q63,0,P168+P169))</f>
        <v>0</v>
      </c>
      <c r="R169" s="56">
        <f>IF(R164=0,0,IF($T$11&lt;=Input!R63,0,Q168+Q169))</f>
        <v>0</v>
      </c>
      <c r="S169" s="48"/>
      <c r="T169" s="106">
        <f>SUM(G168:R168)</f>
        <v>86431.261499999993</v>
      </c>
      <c r="U169" s="55">
        <f>SUM(G170:R170)</f>
        <v>5163.5131191211904</v>
      </c>
      <c r="V169" s="55">
        <f>SUM(T169,U169)</f>
        <v>91594.774619121177</v>
      </c>
    </row>
    <row r="170" spans="1:22" x14ac:dyDescent="0.25">
      <c r="A170" s="127">
        <v>39904</v>
      </c>
      <c r="B170" s="186">
        <f>Input!G$44</f>
        <v>28963</v>
      </c>
      <c r="D170" s="136"/>
      <c r="E170" s="58">
        <v>8.5000000000000006E-2</v>
      </c>
      <c r="F170" s="59" t="s">
        <v>116</v>
      </c>
      <c r="G170" s="64">
        <f t="shared" ref="G170:R170" si="60">G169/12*$E170</f>
        <v>5163.5131191211904</v>
      </c>
      <c r="H170" s="55">
        <f t="shared" si="60"/>
        <v>0</v>
      </c>
      <c r="I170" s="55">
        <f t="shared" si="60"/>
        <v>0</v>
      </c>
      <c r="J170" s="55">
        <f t="shared" si="60"/>
        <v>0</v>
      </c>
      <c r="K170" s="55">
        <f t="shared" si="60"/>
        <v>0</v>
      </c>
      <c r="L170" s="55">
        <f t="shared" si="60"/>
        <v>0</v>
      </c>
      <c r="M170" s="55">
        <f t="shared" si="60"/>
        <v>0</v>
      </c>
      <c r="N170" s="55">
        <f t="shared" si="60"/>
        <v>0</v>
      </c>
      <c r="O170" s="55">
        <f t="shared" si="60"/>
        <v>0</v>
      </c>
      <c r="P170" s="55">
        <f t="shared" si="60"/>
        <v>0</v>
      </c>
      <c r="Q170" s="55">
        <f t="shared" si="60"/>
        <v>0</v>
      </c>
      <c r="R170" s="56">
        <f t="shared" si="60"/>
        <v>0</v>
      </c>
      <c r="S170" s="48"/>
      <c r="T170" s="107">
        <f>SUM(T19,T25,T31,T37,T43,T49,T55,T61,T67,T73,T79,T85,T91,T97,T103,T109,T115,T121,T127,T134,T141,T148,T155,T162,T169)</f>
        <v>589509.26150000002</v>
      </c>
      <c r="U170" s="62">
        <f>SUM(U19,U25,U31,U37,U43,U49,U55,U61,U67,U73,U79,U85,U91,U97,U103,U109,U115,U121,U127,U134,U141,U148,U155,U162,U169)</f>
        <v>231052.07111270103</v>
      </c>
      <c r="V170" s="62">
        <f>SUM(V19,V25,V31,V37,V43,V49,V55,V61,V67,V73,V79,V85,V91,V97,V103,V109,V115,V121,V127,V134,V141,V148,V155,V162,V169)</f>
        <v>820561.33261270111</v>
      </c>
    </row>
    <row r="171" spans="1:22" x14ac:dyDescent="0.25">
      <c r="A171" s="127">
        <v>39934</v>
      </c>
      <c r="B171" s="186">
        <f>Input!H$44</f>
        <v>28963</v>
      </c>
      <c r="D171" s="135">
        <v>26</v>
      </c>
      <c r="E171" s="130" t="s">
        <v>142</v>
      </c>
      <c r="F171" s="47" t="s">
        <v>109</v>
      </c>
      <c r="G171" s="63">
        <v>43922</v>
      </c>
      <c r="H171" s="63">
        <v>43952</v>
      </c>
      <c r="I171" s="63">
        <v>43983</v>
      </c>
      <c r="J171" s="63">
        <v>44013</v>
      </c>
      <c r="K171" s="63">
        <v>44044</v>
      </c>
      <c r="L171" s="63">
        <v>44075</v>
      </c>
      <c r="M171" s="63">
        <v>44105</v>
      </c>
      <c r="N171" s="63">
        <v>44136</v>
      </c>
      <c r="O171" s="63">
        <v>44166</v>
      </c>
      <c r="P171" s="63">
        <v>44197</v>
      </c>
      <c r="Q171" s="63">
        <v>44228</v>
      </c>
      <c r="R171" s="77">
        <v>44256</v>
      </c>
      <c r="S171" s="156">
        <f>SUM(Input!G66:R66)</f>
        <v>1307475</v>
      </c>
      <c r="T171" s="149"/>
      <c r="U171" s="129"/>
      <c r="V171" s="129"/>
    </row>
    <row r="172" spans="1:22" x14ac:dyDescent="0.25">
      <c r="A172" s="127">
        <v>39965</v>
      </c>
      <c r="B172" s="186">
        <f>Input!I$44</f>
        <v>31813</v>
      </c>
      <c r="D172" s="136"/>
      <c r="E172" s="130"/>
      <c r="F172" s="51" t="s">
        <v>110</v>
      </c>
      <c r="G172" s="54">
        <f>IF(Input!G66=0,0,INT((Input!G66*8.33/100)+0.5))</f>
        <v>8879</v>
      </c>
      <c r="H172" s="54">
        <f>IF(Input!H66=0,0,INT((Input!H66*8.33/100)+0.5))</f>
        <v>8879</v>
      </c>
      <c r="I172" s="54">
        <f>IF(Input!I66=0,0,INT((Input!I66*8.33/100)+0.5))</f>
        <v>8879</v>
      </c>
      <c r="J172" s="54">
        <f>IF(Input!J66=0,0,INT((Input!J66*8.33/100)+0.5))</f>
        <v>9142</v>
      </c>
      <c r="K172" s="54">
        <f>IF(Input!K66=0,0,INT((Input!K66*8.33/100)+0.5))</f>
        <v>9142</v>
      </c>
      <c r="L172" s="54">
        <f>IF(Input!L66=0,0,INT((Input!L66*8.33/100)+0.5))</f>
        <v>9142</v>
      </c>
      <c r="M172" s="54">
        <f>IF(Input!M66=0,0,INT((Input!M66*8.33/100)+0.5))</f>
        <v>9142</v>
      </c>
      <c r="N172" s="54">
        <f>IF(Input!N66=0,0,INT((Input!N66*8.33/100)+0.5))</f>
        <v>9142</v>
      </c>
      <c r="O172" s="54">
        <f>IF(Input!O66=0,0,INT((Input!O66*8.33/100)+0.5))</f>
        <v>9142</v>
      </c>
      <c r="P172" s="54">
        <f>IF(Input!P66=0,0,INT((Input!P66*8.33/100)+0.5))</f>
        <v>9142</v>
      </c>
      <c r="Q172" s="54">
        <f>IF(Input!Q66=0,0,INT((Input!Q66*8.33/100)+0.5))</f>
        <v>9142</v>
      </c>
      <c r="R172" s="54">
        <f>IF(Input!R66=0,0,INT((Input!R66*8.33/100)+0.5))</f>
        <v>9142</v>
      </c>
      <c r="S172" s="56">
        <f>IF(S171=0,0,S171*8.33/100)</f>
        <v>108912.6675</v>
      </c>
      <c r="T172" s="149"/>
      <c r="U172" s="129"/>
      <c r="V172" s="129"/>
    </row>
    <row r="173" spans="1:22" ht="30" x14ac:dyDescent="0.25">
      <c r="A173" s="127">
        <v>39995</v>
      </c>
      <c r="B173" s="186">
        <f>Input!J$44</f>
        <v>29841</v>
      </c>
      <c r="D173" s="136"/>
      <c r="E173" s="130"/>
      <c r="F173" s="51" t="s">
        <v>112</v>
      </c>
      <c r="G173" s="54">
        <f>IF(Input!G66&lt;=$U$7,INT((Input!G66*8.33%)+0.5),INT(($U$7*8.33%)+0.5))</f>
        <v>1250</v>
      </c>
      <c r="H173" s="54">
        <f>IF(Input!H66&lt;=$U$7,INT((Input!H66*8.33%)+0.5),INT(($U$7*8.33%)+0.5))</f>
        <v>1250</v>
      </c>
      <c r="I173" s="54">
        <f>IF(Input!I66&lt;=$U$7,INT((Input!I66*8.33%)+0.5),INT(($U$7*8.33%)+0.5))</f>
        <v>1250</v>
      </c>
      <c r="J173" s="54">
        <f>IF(Input!J66&lt;=$U$7,INT((Input!J66*8.33%)+0.5),INT(($U$7*8.33%)+0.5))</f>
        <v>1250</v>
      </c>
      <c r="K173" s="54">
        <f>IF(Input!K66&lt;=$U$7,INT((Input!K66*8.33%)+0.5),INT(($U$7*8.33%)+0.5))</f>
        <v>1250</v>
      </c>
      <c r="L173" s="54">
        <f>IF(Input!L66&lt;=$U$7,INT((Input!L66*8.33%)+0.5),INT(($U$7*8.33%)+0.5))</f>
        <v>1250</v>
      </c>
      <c r="M173" s="54">
        <f>IF(Input!M66&lt;=$U$7,INT((Input!M66*8.33%)+0.5),INT(($U$7*8.33%)+0.5))</f>
        <v>1250</v>
      </c>
      <c r="N173" s="54">
        <f>IF(Input!N66&lt;=$U$7,INT((Input!N66*8.33%)+0.5),INT(($U$7*8.33%)+0.5))</f>
        <v>1250</v>
      </c>
      <c r="O173" s="54">
        <f>IF(Input!O66&lt;=$U$7,INT((Input!O66*8.33%)+0.5),INT(($U$7*8.33%)+0.5))</f>
        <v>1250</v>
      </c>
      <c r="P173" s="54">
        <f>IF(Input!P66&lt;=$U$7,INT((Input!P66*8.33%)+0.5),INT(($U$7*8.33%)+0.5))</f>
        <v>1250</v>
      </c>
      <c r="Q173" s="54">
        <f>IF(Input!Q66&lt;=$U$7,INT((Input!Q66*8.33%)+0.5),INT(($U$7*8.33%)+0.5))</f>
        <v>1250</v>
      </c>
      <c r="R173" s="54">
        <f>IF(Input!R66&lt;=$U$7,INT((Input!R66*8.33%)+0.5),INT(($U$7*8.33%)+0.5))</f>
        <v>1250</v>
      </c>
      <c r="S173" s="56">
        <f>IF(S171=0,0,$U$7*8.33%)</f>
        <v>1249.5</v>
      </c>
      <c r="T173" s="149"/>
      <c r="U173" s="129"/>
      <c r="V173" s="129"/>
    </row>
    <row r="174" spans="1:22" ht="45" x14ac:dyDescent="0.25">
      <c r="A174" s="127">
        <v>40026</v>
      </c>
      <c r="B174" s="186">
        <f>Input!K$44</f>
        <v>29841</v>
      </c>
      <c r="D174" s="136"/>
      <c r="E174" s="130"/>
      <c r="F174" s="101" t="s">
        <v>208</v>
      </c>
      <c r="G174" s="100">
        <f>IF(Input!G66&lt;=$U$7,0,INT(((Input!G66-$U$7)*1.16%)+0.5))</f>
        <v>1062</v>
      </c>
      <c r="H174" s="100">
        <f>IF(Input!H66&lt;=$U$7,0,INT(((Input!H66-$U$7)*1.16%)+0.5))</f>
        <v>1062</v>
      </c>
      <c r="I174" s="100">
        <f>IF(Input!I66&lt;=$U$7,0,INT(((Input!I66-$U$7)*1.16%)+0.5))</f>
        <v>1062</v>
      </c>
      <c r="J174" s="100">
        <f>IF(Input!J66&lt;=$U$7,0,INT(((Input!J66-$U$7)*1.16%)+0.5))</f>
        <v>1099</v>
      </c>
      <c r="K174" s="100">
        <f>IF(Input!K66&lt;=$U$7,0,INT(((Input!K66-$U$7)*1.16%)+0.5))</f>
        <v>1099</v>
      </c>
      <c r="L174" s="100">
        <f>IF(Input!L66&lt;=$U$7,0,INT(((Input!L66-$U$7)*1.16%)+0.5))</f>
        <v>1099</v>
      </c>
      <c r="M174" s="100">
        <f>IF(Input!M66&lt;=$U$7,0,INT(((Input!M66-$U$7)*1.16%)+0.5))</f>
        <v>1099</v>
      </c>
      <c r="N174" s="100">
        <f>IF(Input!N66&lt;=$U$7,0,INT(((Input!N66-$U$7)*1.16%)+0.5))</f>
        <v>1099</v>
      </c>
      <c r="O174" s="100">
        <f>IF(Input!O66&lt;=$U$7,0,INT(((Input!O66-$U$7)*1.16%)+0.5))</f>
        <v>1099</v>
      </c>
      <c r="P174" s="100">
        <f>IF(Input!P66&lt;=$U$7,0,INT(((Input!P66-$U$7)*1.16%)+0.5))</f>
        <v>1099</v>
      </c>
      <c r="Q174" s="100">
        <f>IF(Input!Q66&lt;=$U$7,0,INT(((Input!Q66-$U$7)*1.16%)+0.5))</f>
        <v>1099</v>
      </c>
      <c r="R174" s="100">
        <f>IF(Input!R66&lt;=$U$7,0,INT(((Input!R66-$U$7)*1.16%)+0.5))</f>
        <v>1099</v>
      </c>
      <c r="S174" s="102">
        <f>SUM(G174:R174)</f>
        <v>13077</v>
      </c>
      <c r="T174" s="149"/>
      <c r="U174" s="129"/>
      <c r="V174" s="129"/>
    </row>
    <row r="175" spans="1:22" ht="30" x14ac:dyDescent="0.25">
      <c r="A175" s="127">
        <v>40057</v>
      </c>
      <c r="B175" s="186">
        <f>Input!L$44</f>
        <v>29841</v>
      </c>
      <c r="D175" s="136"/>
      <c r="E175" s="130"/>
      <c r="F175" s="51" t="s">
        <v>113</v>
      </c>
      <c r="G175" s="55">
        <f t="shared" ref="G175:R175" si="61">IF(G172-G173&lt;=0,0,G172-G173)</f>
        <v>7629</v>
      </c>
      <c r="H175" s="55">
        <f t="shared" si="61"/>
        <v>7629</v>
      </c>
      <c r="I175" s="55">
        <f t="shared" si="61"/>
        <v>7629</v>
      </c>
      <c r="J175" s="55">
        <f t="shared" si="61"/>
        <v>7892</v>
      </c>
      <c r="K175" s="55">
        <f t="shared" si="61"/>
        <v>7892</v>
      </c>
      <c r="L175" s="55">
        <f t="shared" si="61"/>
        <v>7892</v>
      </c>
      <c r="M175" s="55">
        <f t="shared" si="61"/>
        <v>7892</v>
      </c>
      <c r="N175" s="55">
        <f t="shared" si="61"/>
        <v>7892</v>
      </c>
      <c r="O175" s="55">
        <f t="shared" si="61"/>
        <v>7892</v>
      </c>
      <c r="P175" s="55">
        <f t="shared" si="61"/>
        <v>7892</v>
      </c>
      <c r="Q175" s="55">
        <f t="shared" si="61"/>
        <v>7892</v>
      </c>
      <c r="R175" s="55">
        <f t="shared" si="61"/>
        <v>7892</v>
      </c>
      <c r="S175" s="56">
        <f>S172-S173+S174</f>
        <v>120740.1675</v>
      </c>
      <c r="T175" s="149"/>
      <c r="U175" s="129"/>
      <c r="V175" s="129"/>
    </row>
    <row r="176" spans="1:22" x14ac:dyDescent="0.25">
      <c r="A176" s="127">
        <v>40087</v>
      </c>
      <c r="B176" s="186">
        <f>Input!M$44</f>
        <v>31064</v>
      </c>
      <c r="D176" s="136"/>
      <c r="E176" s="130" t="s">
        <v>114</v>
      </c>
      <c r="F176" s="51" t="s">
        <v>115</v>
      </c>
      <c r="G176" s="56">
        <f>IF(G171=0,0,IF($T$11&lt;=Input!G65,0,R168+R169+U169))</f>
        <v>0</v>
      </c>
      <c r="H176" s="56">
        <f>IF(H171=0,0,IF($T$11&lt;=Input!H65,0,G175+G176))</f>
        <v>0</v>
      </c>
      <c r="I176" s="56">
        <f>IF(I171=0,0,IF($T$11&lt;=Input!I65,0,H175+H176))</f>
        <v>0</v>
      </c>
      <c r="J176" s="56">
        <f>IF(J171=0,0,IF($T$11&lt;=Input!J65,0,I175+I176))</f>
        <v>0</v>
      </c>
      <c r="K176" s="56">
        <f>IF(K171=0,0,IF($T$11&lt;=Input!K65,0,J175+J176))</f>
        <v>0</v>
      </c>
      <c r="L176" s="56">
        <f>IF(L171=0,0,IF($T$11&lt;=Input!L65,0,K175+K176))</f>
        <v>0</v>
      </c>
      <c r="M176" s="56">
        <f>IF(M171=0,0,IF($T$11&lt;=Input!M65,0,L175+L176))</f>
        <v>0</v>
      </c>
      <c r="N176" s="56">
        <f>IF(N171=0,0,IF($T$11&lt;=Input!N65,0,M175+M176))</f>
        <v>0</v>
      </c>
      <c r="O176" s="56">
        <f>IF(O171=0,0,IF($T$11&lt;=Input!O65,0,N175+N176))</f>
        <v>0</v>
      </c>
      <c r="P176" s="56">
        <f>IF(P171=0,0,IF($T$11&lt;=Input!P65,0,O175+O176))</f>
        <v>0</v>
      </c>
      <c r="Q176" s="56">
        <f>IF(Q171=0,0,IF($T$11&lt;=Input!Q65,0,P175+P176))</f>
        <v>0</v>
      </c>
      <c r="R176" s="56">
        <f>IF(R171=0,0,IF($T$11&lt;=Input!R65,0,Q175+Q176))</f>
        <v>0</v>
      </c>
      <c r="S176" s="48"/>
      <c r="T176" s="106">
        <f>SUM(G175:R175)</f>
        <v>93915</v>
      </c>
      <c r="U176" s="55">
        <f>SUM(G177:R177)</f>
        <v>0</v>
      </c>
      <c r="V176" s="55">
        <f>SUM(T176,U176)</f>
        <v>93915</v>
      </c>
    </row>
    <row r="177" spans="1:22" x14ac:dyDescent="0.25">
      <c r="A177" s="127">
        <v>40118</v>
      </c>
      <c r="B177" s="186">
        <f>Input!N$44</f>
        <v>31064</v>
      </c>
      <c r="D177" s="136"/>
      <c r="E177" s="58">
        <v>8.5000000000000006E-2</v>
      </c>
      <c r="F177" s="59" t="s">
        <v>116</v>
      </c>
      <c r="G177" s="64">
        <f t="shared" ref="G177:R177" si="62">G176/12*$E177</f>
        <v>0</v>
      </c>
      <c r="H177" s="55">
        <f t="shared" si="62"/>
        <v>0</v>
      </c>
      <c r="I177" s="55">
        <f t="shared" si="62"/>
        <v>0</v>
      </c>
      <c r="J177" s="55">
        <f t="shared" si="62"/>
        <v>0</v>
      </c>
      <c r="K177" s="55">
        <f t="shared" si="62"/>
        <v>0</v>
      </c>
      <c r="L177" s="55">
        <f t="shared" si="62"/>
        <v>0</v>
      </c>
      <c r="M177" s="55">
        <f t="shared" si="62"/>
        <v>0</v>
      </c>
      <c r="N177" s="55">
        <f t="shared" si="62"/>
        <v>0</v>
      </c>
      <c r="O177" s="55">
        <f t="shared" si="62"/>
        <v>0</v>
      </c>
      <c r="P177" s="55">
        <f t="shared" si="62"/>
        <v>0</v>
      </c>
      <c r="Q177" s="55">
        <f t="shared" si="62"/>
        <v>0</v>
      </c>
      <c r="R177" s="55">
        <f t="shared" si="62"/>
        <v>0</v>
      </c>
      <c r="S177" s="48"/>
      <c r="T177" s="107">
        <f>SUM(T19,T25,T31,T37,T43,T49,T55,T61,T67,T73,T79,T85,T91,T97,T103,T109,T115,T121,T127,T134,T141,T148,T155,T162,T169,T176)</f>
        <v>683424.26150000002</v>
      </c>
      <c r="U177" s="62">
        <f>SUM(U19,U25,U31,U37,U43,U49,U55,U61,U67,U73,U79,U85,U91,U97,U103,U109,U115,U121,U127,U134,U141,U148,U155,U162,U169,U176)</f>
        <v>231052.07111270103</v>
      </c>
      <c r="V177" s="62">
        <f>SUM(V19,V25,V31,V37,V43,V49,V55,V61,V67,V73,V79,V85,V91,V97,V103,V109,V115,V121,V127,V134,V141,V148,V155,V162,V169,V176)</f>
        <v>914476.33261270111</v>
      </c>
    </row>
    <row r="178" spans="1:22" x14ac:dyDescent="0.25">
      <c r="A178" s="127">
        <v>40148</v>
      </c>
      <c r="B178" s="186">
        <f>Input!O$44</f>
        <v>34721</v>
      </c>
      <c r="D178" s="135">
        <v>27</v>
      </c>
      <c r="E178" s="130" t="s">
        <v>198</v>
      </c>
      <c r="F178" s="47" t="s">
        <v>109</v>
      </c>
      <c r="G178" s="63">
        <v>44287</v>
      </c>
      <c r="H178" s="63">
        <v>44317</v>
      </c>
      <c r="I178" s="63">
        <v>44348</v>
      </c>
      <c r="J178" s="63">
        <v>44378</v>
      </c>
      <c r="K178" s="63">
        <v>44409</v>
      </c>
      <c r="L178" s="63">
        <v>44440</v>
      </c>
      <c r="M178" s="63">
        <v>44470</v>
      </c>
      <c r="N178" s="63">
        <v>44501</v>
      </c>
      <c r="O178" s="63">
        <v>44531</v>
      </c>
      <c r="P178" s="63">
        <v>44562</v>
      </c>
      <c r="Q178" s="63">
        <v>44593</v>
      </c>
      <c r="R178" s="77">
        <v>44621</v>
      </c>
      <c r="S178" s="156">
        <f>SUM(Input!G68:R68)</f>
        <v>109746</v>
      </c>
      <c r="T178" s="149"/>
      <c r="U178" s="129"/>
      <c r="V178" s="129"/>
    </row>
    <row r="179" spans="1:22" x14ac:dyDescent="0.25">
      <c r="A179" s="127">
        <v>40179</v>
      </c>
      <c r="B179" s="186">
        <f>Input!P$44</f>
        <v>31052</v>
      </c>
      <c r="D179" s="136"/>
      <c r="E179" s="130"/>
      <c r="F179" s="51" t="s">
        <v>110</v>
      </c>
      <c r="G179" s="54">
        <f>IF(Input!G68=0,0,INT((Input!G68*8.33/100)+0.5))</f>
        <v>9142</v>
      </c>
      <c r="H179" s="54">
        <f>IF(Input!H68=0,0,INT((Input!H68*8.33/100)+0.5))</f>
        <v>0</v>
      </c>
      <c r="I179" s="54">
        <f>IF(Input!I68=0,0,INT((Input!I68*8.33/100)+0.5))</f>
        <v>0</v>
      </c>
      <c r="J179" s="54">
        <f>IF(Input!J68=0,0,INT((Input!J68*8.33/100)+0.5))</f>
        <v>0</v>
      </c>
      <c r="K179" s="54">
        <f>IF(Input!K68=0,0,INT((Input!K68*8.33/100)+0.5))</f>
        <v>0</v>
      </c>
      <c r="L179" s="54">
        <f>IF(Input!L68=0,0,INT((Input!L68*8.33/100)+0.5))</f>
        <v>0</v>
      </c>
      <c r="M179" s="54">
        <f>IF(Input!M68=0,0,INT((Input!M68*8.33/100)+0.5))</f>
        <v>0</v>
      </c>
      <c r="N179" s="54">
        <f>IF(Input!N68=0,0,INT((Input!N68*8.33/100)+0.5))</f>
        <v>0</v>
      </c>
      <c r="O179" s="54">
        <f>IF(Input!O68=0,0,INT((Input!O68*8.33/100)+0.5))</f>
        <v>0</v>
      </c>
      <c r="P179" s="54">
        <f>IF(Input!P68=0,0,INT((Input!P68*8.33/100)+0.5))</f>
        <v>0</v>
      </c>
      <c r="Q179" s="54">
        <f>IF(Input!Q68=0,0,INT((Input!Q68*8.33/100)+0.5))</f>
        <v>0</v>
      </c>
      <c r="R179" s="54">
        <f>IF(Input!R68=0,0,INT((Input!R68*8.33/100)+0.5))</f>
        <v>0</v>
      </c>
      <c r="S179" s="56">
        <f>IF(S178=0,0,S178*8.33/100)</f>
        <v>9141.8418000000001</v>
      </c>
      <c r="T179" s="149"/>
      <c r="U179" s="129"/>
      <c r="V179" s="129"/>
    </row>
    <row r="180" spans="1:22" ht="30" x14ac:dyDescent="0.25">
      <c r="A180" s="127">
        <v>40210</v>
      </c>
      <c r="B180" s="186">
        <f>Input!Q$44</f>
        <v>31052</v>
      </c>
      <c r="D180" s="136"/>
      <c r="E180" s="130"/>
      <c r="F180" s="51" t="s">
        <v>112</v>
      </c>
      <c r="G180" s="54">
        <f>IF(Input!G68&lt;=$U$7,INT((Input!G68*8.33%)+0.5),INT(($U$7*8.33%)+0.5))</f>
        <v>1250</v>
      </c>
      <c r="H180" s="54">
        <f>IF(Input!H68&lt;=$U$7,INT((Input!H68*8.33%)+0.5),INT(($U$7*8.33%)+0.5))</f>
        <v>0</v>
      </c>
      <c r="I180" s="54">
        <f>IF(Input!I68&lt;=$U$7,INT((Input!I68*8.33%)+0.5),INT(($U$7*8.33%)+0.5))</f>
        <v>0</v>
      </c>
      <c r="J180" s="54">
        <f>IF(Input!J68&lt;=$U$7,INT((Input!J68*8.33%)+0.5),INT(($U$7*8.33%)+0.5))</f>
        <v>0</v>
      </c>
      <c r="K180" s="54">
        <f>IF(Input!K68&lt;=$U$7,INT((Input!K68*8.33%)+0.5),INT(($U$7*8.33%)+0.5))</f>
        <v>0</v>
      </c>
      <c r="L180" s="54">
        <f>IF(Input!L68&lt;=$U$7,INT((Input!L68*8.33%)+0.5),INT(($U$7*8.33%)+0.5))</f>
        <v>0</v>
      </c>
      <c r="M180" s="54">
        <f>IF(Input!M68&lt;=$U$7,INT((Input!M68*8.33%)+0.5),INT(($U$7*8.33%)+0.5))</f>
        <v>0</v>
      </c>
      <c r="N180" s="54">
        <f>IF(Input!N68&lt;=$U$7,INT((Input!N68*8.33%)+0.5),INT(($U$7*8.33%)+0.5))</f>
        <v>0</v>
      </c>
      <c r="O180" s="54">
        <f>IF(Input!O68&lt;=$U$7,INT((Input!O68*8.33%)+0.5),INT(($U$7*8.33%)+0.5))</f>
        <v>0</v>
      </c>
      <c r="P180" s="54">
        <f>IF(Input!P68&lt;=$U$7,INT((Input!P68*8.33%)+0.5),INT(($U$7*8.33%)+0.5))</f>
        <v>0</v>
      </c>
      <c r="Q180" s="54">
        <f>IF(Input!Q68&lt;=$U$7,INT((Input!Q68*8.33%)+0.5),INT(($U$7*8.33%)+0.5))</f>
        <v>0</v>
      </c>
      <c r="R180" s="54">
        <f>IF(Input!R68&lt;=$U$7,INT((Input!R68*8.33%)+0.5),INT(($U$7*8.33%)+0.5))</f>
        <v>0</v>
      </c>
      <c r="S180" s="56">
        <f>IF(S178=0,0,$U$7*8.33%)</f>
        <v>1249.5</v>
      </c>
      <c r="T180" s="149"/>
      <c r="U180" s="129"/>
      <c r="V180" s="129"/>
    </row>
    <row r="181" spans="1:22" ht="45" x14ac:dyDescent="0.25">
      <c r="A181" s="127">
        <v>40238</v>
      </c>
      <c r="B181" s="186">
        <f>Input!R$44</f>
        <v>31052</v>
      </c>
      <c r="D181" s="136"/>
      <c r="E181" s="130"/>
      <c r="F181" s="101" t="s">
        <v>208</v>
      </c>
      <c r="G181" s="100">
        <f>IF(Input!G68&lt;=$U$7,0,INT(((Input!G68-$U$7)*1.16%)+0.5))</f>
        <v>1099</v>
      </c>
      <c r="H181" s="100">
        <f>IF(Input!H68&lt;=$U$7,0,INT(((Input!H68-$U$7)*1.16%)+0.5))</f>
        <v>0</v>
      </c>
      <c r="I181" s="100">
        <f>IF(Input!I68&lt;=$U$7,0,INT(((Input!I68-$U$7)*1.16%)+0.5))</f>
        <v>0</v>
      </c>
      <c r="J181" s="100">
        <f>IF(Input!J68&lt;=$U$7,0,INT(((Input!J68-$U$7)*1.16%)+0.5))</f>
        <v>0</v>
      </c>
      <c r="K181" s="100">
        <f>IF(Input!K68&lt;=$U$7,0,INT(((Input!K68-$U$7)*1.16%)+0.5))</f>
        <v>0</v>
      </c>
      <c r="L181" s="100">
        <f>IF(Input!L68&lt;=$U$7,0,INT(((Input!L68-$U$7)*1.16%)+0.5))</f>
        <v>0</v>
      </c>
      <c r="M181" s="100">
        <f>IF(Input!M68&lt;=$U$7,0,INT(((Input!M68-$U$7)*1.16%)+0.5))</f>
        <v>0</v>
      </c>
      <c r="N181" s="100">
        <f>IF(Input!N68&lt;=$U$7,0,INT(((Input!N68-$U$7)*1.16%)+0.5))</f>
        <v>0</v>
      </c>
      <c r="O181" s="100">
        <f>IF(Input!O68&lt;=$U$7,0,INT(((Input!O68-$U$7)*1.16%)+0.5))</f>
        <v>0</v>
      </c>
      <c r="P181" s="100">
        <f>IF(Input!P68&lt;=$U$7,0,INT(((Input!P68-$U$7)*1.16%)+0.5))</f>
        <v>0</v>
      </c>
      <c r="Q181" s="100">
        <f>IF(Input!Q68&lt;=$U$7,0,INT(((Input!Q68-$U$7)*1.16%)+0.5))</f>
        <v>0</v>
      </c>
      <c r="R181" s="100">
        <f>IF(Input!R68&lt;=$U$7,0,INT(((Input!R68-$U$7)*1.16%)+0.5))</f>
        <v>0</v>
      </c>
      <c r="S181" s="102">
        <f>SUM(G181:R181)</f>
        <v>1099</v>
      </c>
      <c r="T181" s="149"/>
      <c r="U181" s="129"/>
      <c r="V181" s="129"/>
    </row>
    <row r="182" spans="1:22" ht="30" x14ac:dyDescent="0.25">
      <c r="A182" s="127">
        <v>40269</v>
      </c>
      <c r="B182" s="186">
        <f>Input!G$46</f>
        <v>38876</v>
      </c>
      <c r="D182" s="136"/>
      <c r="E182" s="130"/>
      <c r="F182" s="51" t="s">
        <v>113</v>
      </c>
      <c r="G182" s="55">
        <f t="shared" ref="G182:R182" si="63">IF(G179-G180&lt;=0,0,G179-G180)</f>
        <v>7892</v>
      </c>
      <c r="H182" s="55">
        <f t="shared" si="63"/>
        <v>0</v>
      </c>
      <c r="I182" s="55">
        <f t="shared" si="63"/>
        <v>0</v>
      </c>
      <c r="J182" s="55">
        <f t="shared" si="63"/>
        <v>0</v>
      </c>
      <c r="K182" s="55">
        <f t="shared" si="63"/>
        <v>0</v>
      </c>
      <c r="L182" s="55">
        <f t="shared" si="63"/>
        <v>0</v>
      </c>
      <c r="M182" s="55">
        <f t="shared" si="63"/>
        <v>0</v>
      </c>
      <c r="N182" s="55">
        <f t="shared" si="63"/>
        <v>0</v>
      </c>
      <c r="O182" s="55">
        <f t="shared" si="63"/>
        <v>0</v>
      </c>
      <c r="P182" s="55">
        <f t="shared" si="63"/>
        <v>0</v>
      </c>
      <c r="Q182" s="55">
        <f t="shared" si="63"/>
        <v>0</v>
      </c>
      <c r="R182" s="55">
        <f t="shared" si="63"/>
        <v>0</v>
      </c>
      <c r="S182" s="56">
        <f>S179-S180+S181</f>
        <v>8991.3418000000001</v>
      </c>
      <c r="T182" s="149"/>
      <c r="U182" s="129"/>
      <c r="V182" s="129"/>
    </row>
    <row r="183" spans="1:22" x14ac:dyDescent="0.25">
      <c r="A183" s="127">
        <v>40299</v>
      </c>
      <c r="B183" s="186">
        <f>Input!H$46</f>
        <v>33008</v>
      </c>
      <c r="D183" s="136"/>
      <c r="E183" s="130" t="s">
        <v>114</v>
      </c>
      <c r="F183" s="51" t="s">
        <v>115</v>
      </c>
      <c r="G183" s="56">
        <f>IF(G178=0,0,IF($T$11&lt;=Input!G67,0,R175+R176+U176))</f>
        <v>0</v>
      </c>
      <c r="H183" s="56">
        <f>IF(H178=0,0,IF($T$11&lt;=Input!H72,0,G182+G183))</f>
        <v>7892</v>
      </c>
      <c r="I183" s="56">
        <f>IF(I178=0,0,IF($T$11&lt;=Input!I72,0,H182+H183))</f>
        <v>7892</v>
      </c>
      <c r="J183" s="56">
        <f>IF(J178=0,0,IF($T$11&lt;=Input!J72,0,I182+I183))</f>
        <v>7892</v>
      </c>
      <c r="K183" s="56">
        <f>IF(K178=0,0,IF($T$11&lt;=Input!K72,0,J182+J183))</f>
        <v>7892</v>
      </c>
      <c r="L183" s="56">
        <f>IF(L178=0,0,IF($T$11&lt;=Input!L72,0,K182+K183))</f>
        <v>7892</v>
      </c>
      <c r="M183" s="56">
        <f>IF(M178=0,0,IF($T$11&lt;=Input!M72,0,L182+L183))</f>
        <v>7892</v>
      </c>
      <c r="N183" s="56">
        <f>IF(N178=0,0,IF($T$11&lt;=Input!N72,0,M182+M183))</f>
        <v>7892</v>
      </c>
      <c r="O183" s="56">
        <f>IF(O178=0,0,IF($T$11&lt;=Input!O72,0,N182+N183))</f>
        <v>7892</v>
      </c>
      <c r="P183" s="56">
        <f>IF(P178=0,0,IF($T$11&lt;=Input!P72,0,O182+O183))</f>
        <v>7892</v>
      </c>
      <c r="Q183" s="56">
        <f>IF(Q178=0,0,IF($T$11&lt;=Input!Q72,0,P182+P183))</f>
        <v>7892</v>
      </c>
      <c r="R183" s="56">
        <f>IF(R178=0,0,IF($T$11&lt;=Input!R72,0,Q182+Q183))</f>
        <v>7892</v>
      </c>
      <c r="S183" s="48"/>
      <c r="T183" s="106">
        <f>SUM(G182:R182)</f>
        <v>7892</v>
      </c>
      <c r="U183" s="55">
        <f>SUM(G184:R184)</f>
        <v>585.98099999999999</v>
      </c>
      <c r="V183" s="55">
        <f>SUM(T183,U183)</f>
        <v>8477.9809999999998</v>
      </c>
    </row>
    <row r="184" spans="1:22" x14ac:dyDescent="0.25">
      <c r="A184" s="127">
        <v>40330</v>
      </c>
      <c r="B184" s="186">
        <f>Input!I$46</f>
        <v>33008</v>
      </c>
      <c r="D184" s="136"/>
      <c r="E184" s="58">
        <v>8.1000000000000003E-2</v>
      </c>
      <c r="F184" s="59" t="s">
        <v>116</v>
      </c>
      <c r="G184" s="64">
        <f t="shared" ref="G184:H184" si="64">G183/12*$E184</f>
        <v>0</v>
      </c>
      <c r="H184" s="55">
        <f t="shared" si="64"/>
        <v>53.271000000000001</v>
      </c>
      <c r="I184" s="55">
        <f t="shared" ref="I184:R184" si="65">I183/12*$E184</f>
        <v>53.271000000000001</v>
      </c>
      <c r="J184" s="55">
        <f t="shared" si="65"/>
        <v>53.271000000000001</v>
      </c>
      <c r="K184" s="55">
        <f t="shared" si="65"/>
        <v>53.271000000000001</v>
      </c>
      <c r="L184" s="55">
        <f t="shared" si="65"/>
        <v>53.271000000000001</v>
      </c>
      <c r="M184" s="55">
        <f t="shared" si="65"/>
        <v>53.271000000000001</v>
      </c>
      <c r="N184" s="55">
        <f t="shared" si="65"/>
        <v>53.271000000000001</v>
      </c>
      <c r="O184" s="55">
        <f t="shared" si="65"/>
        <v>53.271000000000001</v>
      </c>
      <c r="P184" s="55">
        <f t="shared" si="65"/>
        <v>53.271000000000001</v>
      </c>
      <c r="Q184" s="55">
        <f t="shared" si="65"/>
        <v>53.271000000000001</v>
      </c>
      <c r="R184" s="55">
        <f t="shared" si="65"/>
        <v>53.271000000000001</v>
      </c>
      <c r="S184" s="48"/>
      <c r="T184" s="107">
        <f>SUM(T19,T25,T31,T37,T43,T49,T55,T61,T67,T73,T79,T85,T91,T97,T103,T109,T115,T121,T127,T134,T141,T148,T155,T162,T169,T176,T183)</f>
        <v>691316.26150000002</v>
      </c>
      <c r="U184" s="62">
        <f>SUM(U19,U25,U31,U37,U43,U49,U55,U61,U67,U73,U79,U85,U91,U97,U103,U109,U115,U121,U127,U134,U141,U148,U155,U162,U169,U176,U183)</f>
        <v>231638.05211270103</v>
      </c>
      <c r="V184" s="62">
        <f>SUM(V25,V31,V37,V43,V49,V55,V61,V67,V73,V79,V85,V91,V97,V103,V109,V115,V121,V127,V134,V141,V148,V155,V162,V169,V176,V183)</f>
        <v>922954.31361270114</v>
      </c>
    </row>
    <row r="185" spans="1:22" x14ac:dyDescent="0.25">
      <c r="A185" s="127">
        <v>40360</v>
      </c>
      <c r="B185" s="186">
        <f>Input!J$46</f>
        <v>33008</v>
      </c>
      <c r="D185" s="135">
        <v>28</v>
      </c>
      <c r="E185" s="130" t="s">
        <v>199</v>
      </c>
      <c r="F185" s="47" t="s">
        <v>109</v>
      </c>
      <c r="G185" s="63">
        <v>44652</v>
      </c>
      <c r="H185" s="63">
        <v>44682</v>
      </c>
      <c r="I185" s="63">
        <v>44713</v>
      </c>
      <c r="J185" s="63">
        <v>44743</v>
      </c>
      <c r="K185" s="63">
        <v>44774</v>
      </c>
      <c r="L185" s="63">
        <v>44805</v>
      </c>
      <c r="M185" s="63">
        <v>44835</v>
      </c>
      <c r="N185" s="63">
        <v>44866</v>
      </c>
      <c r="O185" s="63">
        <v>44896</v>
      </c>
      <c r="P185" s="63">
        <v>44927</v>
      </c>
      <c r="Q185" s="63">
        <v>44958</v>
      </c>
      <c r="R185" s="77">
        <v>44986</v>
      </c>
      <c r="S185" s="156">
        <f>SUM(Input!G70:R70)</f>
        <v>0</v>
      </c>
      <c r="T185" s="149"/>
      <c r="U185" s="129"/>
      <c r="V185" s="129"/>
    </row>
    <row r="186" spans="1:22" x14ac:dyDescent="0.25">
      <c r="A186" s="127">
        <v>40391</v>
      </c>
      <c r="B186" s="186">
        <f>Input!K$46</f>
        <v>33008</v>
      </c>
      <c r="D186" s="136"/>
      <c r="E186" s="130"/>
      <c r="F186" s="51" t="s">
        <v>110</v>
      </c>
      <c r="G186" s="54">
        <f>IF(Input!G70=0,0,INT((Input!G70*8.33/100)+0.5))</f>
        <v>0</v>
      </c>
      <c r="H186" s="54">
        <f>IF(Input!H70=0,0,INT((Input!H70*8.33/100)+0.5))</f>
        <v>0</v>
      </c>
      <c r="I186" s="54">
        <f>IF(Input!I70=0,0,INT((Input!I70*8.33/100)+0.5))</f>
        <v>0</v>
      </c>
      <c r="J186" s="54">
        <f>IF(Input!J70=0,0,INT((Input!J70*8.33/100)+0.5))</f>
        <v>0</v>
      </c>
      <c r="K186" s="54">
        <f>IF(Input!K70=0,0,INT((Input!K70*8.33/100)+0.5))</f>
        <v>0</v>
      </c>
      <c r="L186" s="54">
        <f>IF(Input!L70=0,0,INT((Input!L70*8.33/100)+0.5))</f>
        <v>0</v>
      </c>
      <c r="M186" s="54">
        <f>IF(Input!M70=0,0,INT((Input!M70*8.33/100)+0.5))</f>
        <v>0</v>
      </c>
      <c r="N186" s="54">
        <f>IF(Input!N70=0,0,INT((Input!N70*8.33/100)+0.5))</f>
        <v>0</v>
      </c>
      <c r="O186" s="54">
        <f>IF(Input!O70=0,0,INT((Input!O70*8.33/100)+0.5))</f>
        <v>0</v>
      </c>
      <c r="P186" s="54">
        <f>IF(Input!P70=0,0,INT((Input!P70*8.33/100)+0.5))</f>
        <v>0</v>
      </c>
      <c r="Q186" s="54">
        <f>IF(Input!Q70=0,0,INT((Input!Q70*8.33/100)+0.5))</f>
        <v>0</v>
      </c>
      <c r="R186" s="54">
        <f>IF(Input!R70=0,0,INT((Input!R70*8.33/100)+0.5))</f>
        <v>0</v>
      </c>
      <c r="S186" s="56">
        <f>IF(S185=0,0,S185*8.33/100)</f>
        <v>0</v>
      </c>
      <c r="T186" s="149"/>
      <c r="U186" s="129"/>
      <c r="V186" s="129"/>
    </row>
    <row r="187" spans="1:22" ht="30" x14ac:dyDescent="0.25">
      <c r="A187" s="127">
        <v>40422</v>
      </c>
      <c r="B187" s="186">
        <f>Input!L$46</f>
        <v>35774</v>
      </c>
      <c r="D187" s="136"/>
      <c r="E187" s="130"/>
      <c r="F187" s="51" t="s">
        <v>112</v>
      </c>
      <c r="G187" s="54">
        <f>IF(Input!G70&lt;=$U$7,INT((Input!G70*8.33%)+0.5),INT(($U$7*8.33%)+0.5))</f>
        <v>0</v>
      </c>
      <c r="H187" s="54">
        <f>IF(Input!H70&lt;=$U$7,INT((Input!H70*8.33%)+0.5),INT(($U$7*8.33%)+0.5))</f>
        <v>0</v>
      </c>
      <c r="I187" s="54">
        <f>IF(Input!I70&lt;=$U$7,INT((Input!I70*8.33%)+0.5),INT(($U$7*8.33%)+0.5))</f>
        <v>0</v>
      </c>
      <c r="J187" s="54">
        <f>IF(Input!J70&lt;=$U$7,INT((Input!J70*8.33%)+0.5),INT(($U$7*8.33%)+0.5))</f>
        <v>0</v>
      </c>
      <c r="K187" s="54">
        <f>IF(Input!K70&lt;=$U$7,INT((Input!K70*8.33%)+0.5),INT(($U$7*8.33%)+0.5))</f>
        <v>0</v>
      </c>
      <c r="L187" s="54">
        <f>IF(Input!L70&lt;=$U$7,INT((Input!L70*8.33%)+0.5),INT(($U$7*8.33%)+0.5))</f>
        <v>0</v>
      </c>
      <c r="M187" s="54">
        <f>IF(Input!M70&lt;=$U$7,INT((Input!M70*8.33%)+0.5),INT(($U$7*8.33%)+0.5))</f>
        <v>0</v>
      </c>
      <c r="N187" s="54">
        <f>IF(Input!N70&lt;=$U$7,INT((Input!N70*8.33%)+0.5),INT(($U$7*8.33%)+0.5))</f>
        <v>0</v>
      </c>
      <c r="O187" s="54">
        <f>IF(Input!O70&lt;=$U$7,INT((Input!O70*8.33%)+0.5),INT(($U$7*8.33%)+0.5))</f>
        <v>0</v>
      </c>
      <c r="P187" s="54">
        <f>IF(Input!P70&lt;=$U$7,INT((Input!P70*8.33%)+0.5),INT(($U$7*8.33%)+0.5))</f>
        <v>0</v>
      </c>
      <c r="Q187" s="54">
        <f>IF(Input!Q70&lt;=$U$7,INT((Input!Q70*8.33%)+0.5),INT(($U$7*8.33%)+0.5))</f>
        <v>0</v>
      </c>
      <c r="R187" s="54">
        <f>IF(Input!R70&lt;=$U$7,INT((Input!R70*8.33%)+0.5),INT(($U$7*8.33%)+0.5))</f>
        <v>0</v>
      </c>
      <c r="S187" s="56">
        <f>IF(S185=0,0,$U$7*8.33%)</f>
        <v>0</v>
      </c>
      <c r="T187" s="149"/>
      <c r="U187" s="129"/>
      <c r="V187" s="129"/>
    </row>
    <row r="188" spans="1:22" ht="45" x14ac:dyDescent="0.25">
      <c r="A188" s="127">
        <v>40452</v>
      </c>
      <c r="B188" s="186">
        <f>Input!M$46</f>
        <v>41488</v>
      </c>
      <c r="D188" s="136"/>
      <c r="E188" s="130"/>
      <c r="F188" s="101" t="s">
        <v>208</v>
      </c>
      <c r="G188" s="100">
        <f>IF(Input!G70&lt;=$U$7,0,INT(((Input!G70-$U$7)*1.16%)+0.5))</f>
        <v>0</v>
      </c>
      <c r="H188" s="100">
        <f>IF(Input!H70&lt;=$U$7,0,INT(((Input!H70-$U$7)*1.16%)+0.5))</f>
        <v>0</v>
      </c>
      <c r="I188" s="100">
        <f>IF(Input!I70&lt;=$U$7,0,INT(((Input!I70-$U$7)*1.16%)+0.5))</f>
        <v>0</v>
      </c>
      <c r="J188" s="100">
        <f>IF(Input!J70&lt;=$U$7,0,INT(((Input!J70-$U$7)*1.16%)+0.5))</f>
        <v>0</v>
      </c>
      <c r="K188" s="100">
        <f>IF(Input!K70&lt;=$U$7,0,INT(((Input!K70-$U$7)*1.16%)+0.5))</f>
        <v>0</v>
      </c>
      <c r="L188" s="100">
        <f>IF(Input!L70&lt;=$U$7,0,INT(((Input!L70-$U$7)*1.16%)+0.5))</f>
        <v>0</v>
      </c>
      <c r="M188" s="100">
        <f>IF(Input!M70&lt;=$U$7,0,INT(((Input!M70-$U$7)*1.16%)+0.5))</f>
        <v>0</v>
      </c>
      <c r="N188" s="100">
        <f>IF(Input!N70&lt;=$U$7,0,INT(((Input!N70-$U$7)*1.16%)+0.5))</f>
        <v>0</v>
      </c>
      <c r="O188" s="100">
        <f>IF(Input!O70&lt;=$U$7,0,INT(((Input!O70-$U$7)*1.16%)+0.5))</f>
        <v>0</v>
      </c>
      <c r="P188" s="100">
        <f>IF(Input!P70&lt;=$U$7,0,INT(((Input!P70-$U$7)*1.16%)+0.5))</f>
        <v>0</v>
      </c>
      <c r="Q188" s="100">
        <f>IF(Input!Q70&lt;=$U$7,0,INT(((Input!Q70-$U$7)*1.16%)+0.5))</f>
        <v>0</v>
      </c>
      <c r="R188" s="100">
        <f>IF(Input!R70&lt;=$U$7,0,INT(((Input!R70-$U$7)*1.16%)+0.5))</f>
        <v>0</v>
      </c>
      <c r="S188" s="102">
        <f>SUM(G188:R188)</f>
        <v>0</v>
      </c>
      <c r="T188" s="149"/>
      <c r="U188" s="129"/>
      <c r="V188" s="129"/>
    </row>
    <row r="189" spans="1:22" ht="30" x14ac:dyDescent="0.25">
      <c r="A189" s="127">
        <v>40483</v>
      </c>
      <c r="B189" s="186">
        <f>Input!N$46</f>
        <v>36598</v>
      </c>
      <c r="D189" s="136"/>
      <c r="E189" s="130"/>
      <c r="F189" s="51" t="s">
        <v>113</v>
      </c>
      <c r="G189" s="55">
        <f t="shared" ref="G189:R189" si="66">IF(G186-G187&lt;=0,0,G186-G187)</f>
        <v>0</v>
      </c>
      <c r="H189" s="55">
        <f t="shared" si="66"/>
        <v>0</v>
      </c>
      <c r="I189" s="55">
        <f t="shared" si="66"/>
        <v>0</v>
      </c>
      <c r="J189" s="55">
        <f t="shared" si="66"/>
        <v>0</v>
      </c>
      <c r="K189" s="55">
        <f t="shared" si="66"/>
        <v>0</v>
      </c>
      <c r="L189" s="55">
        <f t="shared" si="66"/>
        <v>0</v>
      </c>
      <c r="M189" s="55">
        <f t="shared" si="66"/>
        <v>0</v>
      </c>
      <c r="N189" s="55">
        <f t="shared" si="66"/>
        <v>0</v>
      </c>
      <c r="O189" s="55">
        <f t="shared" si="66"/>
        <v>0</v>
      </c>
      <c r="P189" s="55">
        <f t="shared" si="66"/>
        <v>0</v>
      </c>
      <c r="Q189" s="55">
        <f t="shared" si="66"/>
        <v>0</v>
      </c>
      <c r="R189" s="55">
        <f t="shared" si="66"/>
        <v>0</v>
      </c>
      <c r="S189" s="56">
        <f>S186-S187+S188</f>
        <v>0</v>
      </c>
      <c r="T189" s="149"/>
      <c r="U189" s="129"/>
      <c r="V189" s="129"/>
    </row>
    <row r="190" spans="1:22" x14ac:dyDescent="0.25">
      <c r="A190" s="127">
        <v>40513</v>
      </c>
      <c r="B190" s="186">
        <f>Input!O$46</f>
        <v>36598</v>
      </c>
      <c r="D190" s="136"/>
      <c r="E190" s="130" t="s">
        <v>114</v>
      </c>
      <c r="F190" s="51" t="s">
        <v>115</v>
      </c>
      <c r="G190" s="56">
        <f>IF(G185=0,0,IF($T$11&lt;=Input!G69,0,R182+R183+U183))</f>
        <v>0</v>
      </c>
      <c r="H190" s="56">
        <f>IF(H185=0,0,IF($T$11&lt;=Input!H79,0,G189+G190))</f>
        <v>0</v>
      </c>
      <c r="I190" s="56">
        <f>IF(I185=0,0,IF($T$11&lt;=Input!I79,0,H189+H190))</f>
        <v>0</v>
      </c>
      <c r="J190" s="56">
        <f>IF(J185=0,0,IF($T$11&lt;=Input!J79,0,I189+I190))</f>
        <v>0</v>
      </c>
      <c r="K190" s="56">
        <f>IF(K185=0,0,IF($T$11&lt;=Input!K79,0,J189+J190))</f>
        <v>0</v>
      </c>
      <c r="L190" s="56">
        <f>IF(L185=0,0,IF($T$11&lt;=Input!L79,0,K189+K190))</f>
        <v>0</v>
      </c>
      <c r="M190" s="56">
        <f>IF(M185=0,0,IF($T$11&lt;=Input!M79,0,L189+L190))</f>
        <v>0</v>
      </c>
      <c r="N190" s="56">
        <f>IF(N185=0,0,IF($T$11&lt;=Input!N79,0,M189+M190))</f>
        <v>0</v>
      </c>
      <c r="O190" s="56">
        <f>IF(O185=0,0,IF($T$11&lt;=Input!O79,0,N189+N190))</f>
        <v>0</v>
      </c>
      <c r="P190" s="56">
        <f>IF(P185=0,0,IF($T$11&lt;=Input!P79,0,O189+O190))</f>
        <v>0</v>
      </c>
      <c r="Q190" s="56">
        <f>IF(Q185=0,0,IF($T$11&lt;=Input!Q79,0,P189+P190))</f>
        <v>0</v>
      </c>
      <c r="R190" s="56">
        <f>IF(R185=0,0,IF($T$11&lt;=Input!R79,0,Q189+Q190))</f>
        <v>0</v>
      </c>
      <c r="S190" s="48"/>
      <c r="T190" s="106">
        <f>SUM(G189:R189)</f>
        <v>0</v>
      </c>
      <c r="U190" s="55">
        <f>SUM(G191:R191)</f>
        <v>0</v>
      </c>
      <c r="V190" s="55">
        <f>SUM(T190,U190)</f>
        <v>0</v>
      </c>
    </row>
    <row r="191" spans="1:22" x14ac:dyDescent="0.25">
      <c r="A191" s="127">
        <v>40544</v>
      </c>
      <c r="B191" s="186">
        <f>Input!P$46</f>
        <v>36598</v>
      </c>
      <c r="D191" s="136"/>
      <c r="E191" s="78">
        <v>8.1000000000000003E-2</v>
      </c>
      <c r="F191" s="59" t="s">
        <v>116</v>
      </c>
      <c r="G191" s="64">
        <f t="shared" ref="G191:H191" si="67">G190/12*$E191</f>
        <v>0</v>
      </c>
      <c r="H191" s="55">
        <f t="shared" si="67"/>
        <v>0</v>
      </c>
      <c r="I191" s="55">
        <f t="shared" ref="I191:R191" si="68">I190/12*$E191</f>
        <v>0</v>
      </c>
      <c r="J191" s="55">
        <f t="shared" si="68"/>
        <v>0</v>
      </c>
      <c r="K191" s="55">
        <f t="shared" si="68"/>
        <v>0</v>
      </c>
      <c r="L191" s="55">
        <f t="shared" si="68"/>
        <v>0</v>
      </c>
      <c r="M191" s="55">
        <f t="shared" si="68"/>
        <v>0</v>
      </c>
      <c r="N191" s="55">
        <f t="shared" si="68"/>
        <v>0</v>
      </c>
      <c r="O191" s="55">
        <f t="shared" si="68"/>
        <v>0</v>
      </c>
      <c r="P191" s="55">
        <f t="shared" si="68"/>
        <v>0</v>
      </c>
      <c r="Q191" s="55">
        <f t="shared" si="68"/>
        <v>0</v>
      </c>
      <c r="R191" s="55">
        <f t="shared" si="68"/>
        <v>0</v>
      </c>
      <c r="S191" s="48"/>
      <c r="T191" s="107">
        <f>SUM(T19,T25,T31,T37,T43,T49,T55,T61,T67,T73,T79,T85,T91,T97,T103,T109,T115,T121,T127,T134,T141,T148,T155,T162,T169,T176,T183,T190)</f>
        <v>691316.26150000002</v>
      </c>
      <c r="U191" s="62">
        <f>SUM(U19,U25,U31,U37,U43,U49,U55,U61,U67,U73,U79,U85,U91,U97,U103,U109,U115,U121,U127,U134,U141,U148,U155,U162,U169,U176,U183,U190)</f>
        <v>231638.05211270103</v>
      </c>
      <c r="V191" s="62">
        <f>SUM(V31,V37,V43,V49,V55,V61,V67,V73,V79,V85,V91,V97,V103,V109,V115,V121,V127,V134,V141,V148,V155,V162,V169,V176,V183,V190)</f>
        <v>922954.31361270114</v>
      </c>
    </row>
    <row r="192" spans="1:22" x14ac:dyDescent="0.25">
      <c r="A192" s="127">
        <v>40575</v>
      </c>
      <c r="B192" s="186">
        <f>Input!Q$46</f>
        <v>36598</v>
      </c>
      <c r="D192" s="135">
        <v>29</v>
      </c>
      <c r="E192" s="130" t="s">
        <v>209</v>
      </c>
      <c r="F192" s="47" t="s">
        <v>109</v>
      </c>
      <c r="G192" s="63">
        <v>45017</v>
      </c>
      <c r="H192" s="63">
        <v>45047</v>
      </c>
      <c r="I192" s="63">
        <v>45078</v>
      </c>
      <c r="J192" s="63">
        <v>45108</v>
      </c>
      <c r="K192" s="63">
        <v>45139</v>
      </c>
      <c r="L192" s="63">
        <v>45170</v>
      </c>
      <c r="M192" s="63">
        <v>45200</v>
      </c>
      <c r="N192" s="63">
        <v>45231</v>
      </c>
      <c r="O192" s="63">
        <v>45261</v>
      </c>
      <c r="P192" s="63">
        <v>45292</v>
      </c>
      <c r="Q192" s="63">
        <v>45323</v>
      </c>
      <c r="R192" s="77">
        <v>45352</v>
      </c>
      <c r="S192" s="156">
        <f>SUM(Input!G72:R72)</f>
        <v>0</v>
      </c>
      <c r="T192" s="149"/>
      <c r="U192" s="129"/>
      <c r="V192" s="129"/>
    </row>
    <row r="193" spans="1:22" x14ac:dyDescent="0.25">
      <c r="A193" s="127">
        <v>40603</v>
      </c>
      <c r="B193" s="186">
        <f>Input!R$46</f>
        <v>54870</v>
      </c>
      <c r="D193" s="136"/>
      <c r="E193" s="130"/>
      <c r="F193" s="51" t="s">
        <v>110</v>
      </c>
      <c r="G193" s="54">
        <f>IF(Input!G72=0,0,INT((Input!G72*8.33/100)+0.5))</f>
        <v>0</v>
      </c>
      <c r="H193" s="54">
        <f>IF(Input!H72=0,0,INT((Input!H72*8.33/100)+0.5))</f>
        <v>0</v>
      </c>
      <c r="I193" s="54">
        <f>IF(Input!I72=0,0,INT((Input!I72*8.33/100)+0.5))</f>
        <v>0</v>
      </c>
      <c r="J193" s="54">
        <f>IF(Input!J72=0,0,INT((Input!J72*8.33/100)+0.5))</f>
        <v>0</v>
      </c>
      <c r="K193" s="54">
        <f>IF(Input!K72=0,0,INT((Input!K72*8.33/100)+0.5))</f>
        <v>0</v>
      </c>
      <c r="L193" s="54">
        <f>IF(Input!L72=0,0,INT((Input!L72*8.33/100)+0.5))</f>
        <v>0</v>
      </c>
      <c r="M193" s="54">
        <f>IF(Input!M72=0,0,INT((Input!M72*8.33/100)+0.5))</f>
        <v>0</v>
      </c>
      <c r="N193" s="54">
        <f>IF(Input!N72=0,0,INT((Input!N72*8.33/100)+0.5))</f>
        <v>0</v>
      </c>
      <c r="O193" s="54">
        <f>IF(Input!O72=0,0,INT((Input!O72*8.33/100)+0.5))</f>
        <v>0</v>
      </c>
      <c r="P193" s="54">
        <f>IF(Input!P72=0,0,INT((Input!P72*8.33/100)+0.5))</f>
        <v>0</v>
      </c>
      <c r="Q193" s="54">
        <f>IF(Input!Q72=0,0,INT((Input!Q72*8.33/100)+0.5))</f>
        <v>0</v>
      </c>
      <c r="R193" s="54">
        <f>IF(Input!R72=0,0,INT((Input!R72*8.33/100)+0.5))</f>
        <v>0</v>
      </c>
      <c r="S193" s="56">
        <f>IF(S192=0,0,S192*8.33/100)</f>
        <v>0</v>
      </c>
      <c r="T193" s="149"/>
      <c r="U193" s="129"/>
      <c r="V193" s="129"/>
    </row>
    <row r="194" spans="1:22" ht="30" x14ac:dyDescent="0.25">
      <c r="A194" s="127">
        <v>40634</v>
      </c>
      <c r="B194" s="186">
        <f>Input!G$48</f>
        <v>41140</v>
      </c>
      <c r="D194" s="136"/>
      <c r="E194" s="130"/>
      <c r="F194" s="51" t="s">
        <v>112</v>
      </c>
      <c r="G194" s="54">
        <f>IF(Input!G72&lt;=$U$7,INT((Input!G72*8.33%)+0.5),INT(($U$7*8.33%)+0.5))</f>
        <v>0</v>
      </c>
      <c r="H194" s="54">
        <f>IF(Input!H72&lt;=$U$7,INT((Input!H72*8.33%)+0.5),INT(($U$7*8.33%)+0.5))</f>
        <v>0</v>
      </c>
      <c r="I194" s="54">
        <f>IF(Input!I72&lt;=$U$7,INT((Input!I72*8.33%)+0.5),INT(($U$7*8.33%)+0.5))</f>
        <v>0</v>
      </c>
      <c r="J194" s="54">
        <f>IF(Input!J72&lt;=$U$7,INT((Input!J72*8.33%)+0.5),INT(($U$7*8.33%)+0.5))</f>
        <v>0</v>
      </c>
      <c r="K194" s="54">
        <f>IF(Input!K72&lt;=$U$7,INT((Input!K72*8.33%)+0.5),INT(($U$7*8.33%)+0.5))</f>
        <v>0</v>
      </c>
      <c r="L194" s="54">
        <f>IF(Input!L72&lt;=$U$7,INT((Input!L72*8.33%)+0.5),INT(($U$7*8.33%)+0.5))</f>
        <v>0</v>
      </c>
      <c r="M194" s="54">
        <f>IF(Input!M72&lt;=$U$7,INT((Input!M72*8.33%)+0.5),INT(($U$7*8.33%)+0.5))</f>
        <v>0</v>
      </c>
      <c r="N194" s="54">
        <f>IF(Input!N72&lt;=$U$7,INT((Input!N72*8.33%)+0.5),INT(($U$7*8.33%)+0.5))</f>
        <v>0</v>
      </c>
      <c r="O194" s="54">
        <f>IF(Input!O72&lt;=$U$7,INT((Input!O72*8.33%)+0.5),INT(($U$7*8.33%)+0.5))</f>
        <v>0</v>
      </c>
      <c r="P194" s="54">
        <f>IF(Input!P72&lt;=$U$7,INT((Input!P72*8.33%)+0.5),INT(($U$7*8.33%)+0.5))</f>
        <v>0</v>
      </c>
      <c r="Q194" s="54">
        <f>IF(Input!Q72&lt;=$U$7,INT((Input!Q72*8.33%)+0.5),INT(($U$7*8.33%)+0.5))</f>
        <v>0</v>
      </c>
      <c r="R194" s="54">
        <f>IF(Input!R72&lt;=$U$7,INT((Input!R72*8.33%)+0.5),INT(($U$7*8.33%)+0.5))</f>
        <v>0</v>
      </c>
      <c r="S194" s="56">
        <f>IF(S192=0,0,$U$7*8.33%)</f>
        <v>0</v>
      </c>
      <c r="T194" s="149"/>
      <c r="U194" s="129"/>
      <c r="V194" s="129"/>
    </row>
    <row r="195" spans="1:22" ht="45" x14ac:dyDescent="0.25">
      <c r="A195" s="127">
        <v>40664</v>
      </c>
      <c r="B195" s="186">
        <f>Input!H$48</f>
        <v>38112</v>
      </c>
      <c r="D195" s="136"/>
      <c r="E195" s="130"/>
      <c r="F195" s="101" t="s">
        <v>208</v>
      </c>
      <c r="G195" s="100">
        <f>IF(Input!G72&lt;=$U$7,0,INT(((Input!G72-$U$7)*1.16%)+0.5))</f>
        <v>0</v>
      </c>
      <c r="H195" s="100">
        <f>IF(Input!H77&lt;=$U$7,0,INT(((Input!H77-$U$7)*1.16%)+0.5))</f>
        <v>0</v>
      </c>
      <c r="I195" s="100">
        <f>IF(Input!I77&lt;=$U$7,0,INT(((Input!I77-$U$7)*1.16%)+0.5))</f>
        <v>0</v>
      </c>
      <c r="J195" s="100">
        <f>IF(Input!J77&lt;=$U$7,0,INT(((Input!J77-$U$7)*1.16%)+0.5))</f>
        <v>0</v>
      </c>
      <c r="K195" s="100">
        <f>IF(Input!K77&lt;=$U$7,0,INT(((Input!K77-$U$7)*1.16%)+0.5))</f>
        <v>0</v>
      </c>
      <c r="L195" s="100">
        <f>IF(Input!L77&lt;=$U$7,0,INT(((Input!L77-$U$7)*1.16%)+0.5))</f>
        <v>0</v>
      </c>
      <c r="M195" s="100">
        <f>IF(Input!M77&lt;=$U$7,0,INT(((Input!M77-$U$7)*1.16%)+0.5))</f>
        <v>0</v>
      </c>
      <c r="N195" s="100">
        <f>IF(Input!N77&lt;=$U$7,0,INT(((Input!N77-$U$7)*1.16%)+0.5))</f>
        <v>0</v>
      </c>
      <c r="O195" s="100">
        <f>IF(Input!O77&lt;=$U$7,0,INT(((Input!O77-$U$7)*1.16%)+0.5))</f>
        <v>0</v>
      </c>
      <c r="P195" s="100">
        <f>IF(Input!P77&lt;=$U$7,0,INT(((Input!P77-$U$7)*1.16%)+0.5))</f>
        <v>0</v>
      </c>
      <c r="Q195" s="100">
        <f>IF(Input!Q77&lt;=$U$7,0,INT(((Input!Q77-$U$7)*1.16%)+0.5))</f>
        <v>0</v>
      </c>
      <c r="R195" s="100">
        <f>IF(Input!R77&lt;=$U$7,0,INT(((Input!R77-$U$7)*1.16%)+0.5))</f>
        <v>0</v>
      </c>
      <c r="S195" s="102">
        <f>SUM(G195:R195)</f>
        <v>0</v>
      </c>
      <c r="T195" s="149"/>
      <c r="U195" s="129"/>
      <c r="V195" s="129"/>
    </row>
    <row r="196" spans="1:22" ht="30" x14ac:dyDescent="0.25">
      <c r="A196" s="127">
        <v>40695</v>
      </c>
      <c r="B196" s="186">
        <f>Input!I$48</f>
        <v>38112</v>
      </c>
      <c r="D196" s="136"/>
      <c r="E196" s="130"/>
      <c r="F196" s="51" t="s">
        <v>113</v>
      </c>
      <c r="G196" s="55">
        <f t="shared" ref="G196:R196" si="69">IF(G193-G194&lt;=0,0,G193-G194)</f>
        <v>0</v>
      </c>
      <c r="H196" s="55">
        <f t="shared" si="69"/>
        <v>0</v>
      </c>
      <c r="I196" s="55">
        <f t="shared" si="69"/>
        <v>0</v>
      </c>
      <c r="J196" s="55">
        <f t="shared" si="69"/>
        <v>0</v>
      </c>
      <c r="K196" s="55">
        <f t="shared" si="69"/>
        <v>0</v>
      </c>
      <c r="L196" s="55">
        <f t="shared" si="69"/>
        <v>0</v>
      </c>
      <c r="M196" s="55">
        <f t="shared" si="69"/>
        <v>0</v>
      </c>
      <c r="N196" s="55">
        <f t="shared" si="69"/>
        <v>0</v>
      </c>
      <c r="O196" s="55">
        <f t="shared" si="69"/>
        <v>0</v>
      </c>
      <c r="P196" s="55">
        <f t="shared" si="69"/>
        <v>0</v>
      </c>
      <c r="Q196" s="55">
        <f t="shared" si="69"/>
        <v>0</v>
      </c>
      <c r="R196" s="55">
        <f t="shared" si="69"/>
        <v>0</v>
      </c>
      <c r="S196" s="56">
        <f>S193-S194+S195</f>
        <v>0</v>
      </c>
      <c r="T196" s="149"/>
      <c r="U196" s="129"/>
      <c r="V196" s="129"/>
    </row>
    <row r="197" spans="1:22" x14ac:dyDescent="0.25">
      <c r="A197" s="127">
        <v>40725</v>
      </c>
      <c r="B197" s="186">
        <f>Input!J$48</f>
        <v>39260</v>
      </c>
      <c r="D197" s="136"/>
      <c r="E197" s="130" t="s">
        <v>114</v>
      </c>
      <c r="F197" s="51" t="s">
        <v>115</v>
      </c>
      <c r="G197" s="56">
        <f>IF(G192=0,0,IF($T$11&lt;=Input!G76,0,R189+R190+U190))</f>
        <v>0</v>
      </c>
      <c r="H197" s="56">
        <f>IF(H192=0,0,IF($T$11&lt;=Input!H86,0,G196+G197))</f>
        <v>0</v>
      </c>
      <c r="I197" s="56">
        <f>IF(I192=0,0,IF($T$11&lt;=Input!I86,0,H196+H197))</f>
        <v>0</v>
      </c>
      <c r="J197" s="56">
        <f>IF(J192=0,0,IF($T$11&lt;=Input!J86,0,I196+I197))</f>
        <v>0</v>
      </c>
      <c r="K197" s="56">
        <f>IF(K192=0,0,IF($T$11&lt;=Input!K86,0,J196+J197))</f>
        <v>0</v>
      </c>
      <c r="L197" s="56">
        <f>IF(L192=0,0,IF($T$11&lt;=Input!L86,0,K196+K197))</f>
        <v>0</v>
      </c>
      <c r="M197" s="56">
        <f>IF(M192=0,0,IF($T$11&lt;=Input!M86,0,L196+L197))</f>
        <v>0</v>
      </c>
      <c r="N197" s="56">
        <f>IF(N192=0,0,IF($T$11&lt;=Input!N86,0,M196+M197))</f>
        <v>0</v>
      </c>
      <c r="O197" s="56">
        <f>IF(O192=0,0,IF($T$11&lt;=Input!O86,0,N196+N197))</f>
        <v>0</v>
      </c>
      <c r="P197" s="56">
        <f>IF(P192=0,0,IF($T$11&lt;=Input!P86,0,O196+O197))</f>
        <v>0</v>
      </c>
      <c r="Q197" s="56">
        <f>IF(Q192=0,0,IF($T$11&lt;=Input!Q86,0,P196+P197))</f>
        <v>0</v>
      </c>
      <c r="R197" s="56">
        <f>IF(R192=0,0,IF($T$11&lt;=Input!R86,0,Q196+Q197))</f>
        <v>0</v>
      </c>
      <c r="S197" s="48"/>
      <c r="T197" s="106">
        <f>SUM(G196:R196)</f>
        <v>0</v>
      </c>
      <c r="U197" s="55">
        <f>SUM(G198:R198)</f>
        <v>0</v>
      </c>
      <c r="V197" s="55">
        <f>SUM(T197,U197)</f>
        <v>0</v>
      </c>
    </row>
    <row r="198" spans="1:22" x14ac:dyDescent="0.25">
      <c r="A198" s="127">
        <v>40756</v>
      </c>
      <c r="B198" s="186">
        <f>Input!K$48</f>
        <v>39260</v>
      </c>
      <c r="D198" s="159"/>
      <c r="E198" s="78">
        <v>8.1000000000000003E-2</v>
      </c>
      <c r="F198" s="59" t="s">
        <v>116</v>
      </c>
      <c r="G198" s="64">
        <f t="shared" ref="G198:H198" si="70">G197/12*$E198</f>
        <v>0</v>
      </c>
      <c r="H198" s="55">
        <f t="shared" si="70"/>
        <v>0</v>
      </c>
      <c r="I198" s="55">
        <f t="shared" ref="I198:R198" si="71">I197/12*$E198</f>
        <v>0</v>
      </c>
      <c r="J198" s="55">
        <f t="shared" si="71"/>
        <v>0</v>
      </c>
      <c r="K198" s="55">
        <f t="shared" si="71"/>
        <v>0</v>
      </c>
      <c r="L198" s="55">
        <f t="shared" si="71"/>
        <v>0</v>
      </c>
      <c r="M198" s="55">
        <f t="shared" si="71"/>
        <v>0</v>
      </c>
      <c r="N198" s="55">
        <f t="shared" si="71"/>
        <v>0</v>
      </c>
      <c r="O198" s="55">
        <f t="shared" si="71"/>
        <v>0</v>
      </c>
      <c r="P198" s="55">
        <f t="shared" si="71"/>
        <v>0</v>
      </c>
      <c r="Q198" s="55">
        <f t="shared" si="71"/>
        <v>0</v>
      </c>
      <c r="R198" s="55">
        <f t="shared" si="71"/>
        <v>0</v>
      </c>
      <c r="S198" s="48"/>
      <c r="T198" s="107">
        <f>SUM(T19,T25,T31,T37,T43,T49,T55,T61,T67,T73,T79,T85,T91,T97,T103,T109,T115,T121,T127,T134,T141,T148,T155,T162,T169,T176,T183,T190,T197)</f>
        <v>691316.26150000002</v>
      </c>
      <c r="U198" s="62">
        <f>SUM(U19,U25,U31,U37,U43,U49,U55,U61,U67,U73,U79,U85,U91,U97,U103,U109,U115,U121,U127,U134,U141,U148,U155,U162,U169,U176,U183,U190,U197)</f>
        <v>231638.05211270103</v>
      </c>
      <c r="V198" s="62">
        <f>SUM(V19,V25,V31,V37,V43,V49,V55,V61,V67,V73,V79,V85,V91,V97,V103,V109,V115,V121,V127,V134,V141,V148,V155,V162,V169,V176,V183,V190,V197)</f>
        <v>922954.31361270114</v>
      </c>
    </row>
    <row r="199" spans="1:22" x14ac:dyDescent="0.25">
      <c r="A199" s="127">
        <v>40787</v>
      </c>
      <c r="B199" s="186">
        <f>Input!L$48</f>
        <v>39260</v>
      </c>
      <c r="U199" s="80"/>
    </row>
    <row r="200" spans="1:22" ht="15.6" customHeight="1" x14ac:dyDescent="0.25">
      <c r="A200" s="127">
        <v>40817</v>
      </c>
      <c r="B200" s="186">
        <f>Input!M$48</f>
        <v>41080</v>
      </c>
      <c r="D200" s="372" t="s">
        <v>219</v>
      </c>
      <c r="E200" s="373"/>
      <c r="F200" s="373"/>
      <c r="G200" s="373"/>
      <c r="H200" s="373"/>
      <c r="I200" s="373"/>
      <c r="J200" s="373"/>
      <c r="K200" s="373"/>
      <c r="L200" s="373"/>
      <c r="M200" s="373"/>
      <c r="N200" s="373"/>
      <c r="O200" s="373"/>
      <c r="P200" s="373"/>
      <c r="Q200" s="373"/>
      <c r="R200" s="373"/>
      <c r="S200" s="374"/>
      <c r="T200" s="112"/>
      <c r="U200" s="81"/>
      <c r="V200" s="112"/>
    </row>
    <row r="201" spans="1:22" ht="15.6" customHeight="1" x14ac:dyDescent="0.25">
      <c r="A201" s="127">
        <v>40848</v>
      </c>
      <c r="B201" s="186">
        <f>Input!N$48</f>
        <v>41080</v>
      </c>
      <c r="D201" s="375" t="s">
        <v>214</v>
      </c>
      <c r="E201" s="376"/>
      <c r="F201" s="377"/>
      <c r="G201" s="188">
        <f>EDATE(Input!L10,0)</f>
        <v>44287</v>
      </c>
      <c r="H201" s="189">
        <f t="shared" ref="H201:R201" si="72">EDATE(G201,-1)</f>
        <v>44256</v>
      </c>
      <c r="I201" s="189">
        <f t="shared" si="72"/>
        <v>44228</v>
      </c>
      <c r="J201" s="189">
        <f t="shared" si="72"/>
        <v>44197</v>
      </c>
      <c r="K201" s="189">
        <f t="shared" si="72"/>
        <v>44166</v>
      </c>
      <c r="L201" s="189">
        <f t="shared" si="72"/>
        <v>44136</v>
      </c>
      <c r="M201" s="189">
        <f t="shared" si="72"/>
        <v>44105</v>
      </c>
      <c r="N201" s="189">
        <f t="shared" si="72"/>
        <v>44075</v>
      </c>
      <c r="O201" s="189">
        <f t="shared" si="72"/>
        <v>44044</v>
      </c>
      <c r="P201" s="189">
        <f t="shared" si="72"/>
        <v>44013</v>
      </c>
      <c r="Q201" s="189">
        <f t="shared" si="72"/>
        <v>43983</v>
      </c>
      <c r="R201" s="189">
        <f t="shared" si="72"/>
        <v>43952</v>
      </c>
      <c r="S201" s="381" t="s">
        <v>201</v>
      </c>
      <c r="T201" s="112"/>
      <c r="U201" s="80"/>
      <c r="V201" s="112"/>
    </row>
    <row r="202" spans="1:22" ht="15.6" customHeight="1" x14ac:dyDescent="0.25">
      <c r="A202" s="127">
        <v>40878</v>
      </c>
      <c r="B202" s="186">
        <f>Input!O$48</f>
        <v>46540</v>
      </c>
      <c r="D202" s="384" t="s">
        <v>200</v>
      </c>
      <c r="E202" s="385"/>
      <c r="F202" s="386"/>
      <c r="G202" s="190">
        <f t="shared" ref="G202:R202" si="73">VLOOKUP(G201,$A$2:$B$349,2,0)</f>
        <v>106587</v>
      </c>
      <c r="H202" s="190">
        <f t="shared" si="73"/>
        <v>106587</v>
      </c>
      <c r="I202" s="190">
        <f t="shared" si="73"/>
        <v>106587</v>
      </c>
      <c r="J202" s="190">
        <f t="shared" si="73"/>
        <v>106587</v>
      </c>
      <c r="K202" s="190">
        <f t="shared" si="73"/>
        <v>106587</v>
      </c>
      <c r="L202" s="190">
        <f t="shared" si="73"/>
        <v>106587</v>
      </c>
      <c r="M202" s="190">
        <f t="shared" si="73"/>
        <v>106587</v>
      </c>
      <c r="N202" s="190">
        <f t="shared" si="73"/>
        <v>114046</v>
      </c>
      <c r="O202" s="190">
        <f t="shared" si="73"/>
        <v>102032</v>
      </c>
      <c r="P202" s="190">
        <f t="shared" si="73"/>
        <v>65047</v>
      </c>
      <c r="Q202" s="190">
        <f t="shared" si="73"/>
        <v>99008</v>
      </c>
      <c r="R202" s="190">
        <f t="shared" si="73"/>
        <v>99008</v>
      </c>
      <c r="S202" s="382"/>
      <c r="T202" s="112"/>
      <c r="U202" s="112"/>
      <c r="V202" s="112"/>
    </row>
    <row r="203" spans="1:22" ht="14.45" customHeight="1" x14ac:dyDescent="0.25">
      <c r="A203" s="127">
        <v>40909</v>
      </c>
      <c r="B203" s="186">
        <f>Input!P$48</f>
        <v>41080</v>
      </c>
      <c r="D203" s="375" t="s">
        <v>214</v>
      </c>
      <c r="E203" s="376"/>
      <c r="F203" s="377"/>
      <c r="G203" s="189">
        <f>EDATE(R201,-1)</f>
        <v>43922</v>
      </c>
      <c r="H203" s="189">
        <f t="shared" ref="H203:R203" si="74">EDATE(G203,-1)</f>
        <v>43891</v>
      </c>
      <c r="I203" s="189">
        <f t="shared" si="74"/>
        <v>43862</v>
      </c>
      <c r="J203" s="189">
        <f t="shared" si="74"/>
        <v>43831</v>
      </c>
      <c r="K203" s="189">
        <f t="shared" si="74"/>
        <v>43800</v>
      </c>
      <c r="L203" s="189">
        <f t="shared" si="74"/>
        <v>43770</v>
      </c>
      <c r="M203" s="189">
        <f t="shared" si="74"/>
        <v>43739</v>
      </c>
      <c r="N203" s="189">
        <f t="shared" si="74"/>
        <v>43709</v>
      </c>
      <c r="O203" s="189">
        <f t="shared" si="74"/>
        <v>43678</v>
      </c>
      <c r="P203" s="189">
        <f t="shared" si="74"/>
        <v>43647</v>
      </c>
      <c r="Q203" s="189">
        <f t="shared" si="74"/>
        <v>43617</v>
      </c>
      <c r="R203" s="189">
        <f t="shared" si="74"/>
        <v>43586</v>
      </c>
      <c r="S203" s="382"/>
      <c r="T203" s="112"/>
      <c r="U203" s="112"/>
      <c r="V203" s="112"/>
    </row>
    <row r="204" spans="1:22" ht="15.6" customHeight="1" x14ac:dyDescent="0.25">
      <c r="A204" s="127">
        <v>40940</v>
      </c>
      <c r="B204" s="186">
        <f>Input!Q$48</f>
        <v>41080</v>
      </c>
      <c r="D204" s="384" t="s">
        <v>200</v>
      </c>
      <c r="E204" s="385"/>
      <c r="F204" s="386"/>
      <c r="G204" s="190">
        <f t="shared" ref="G204:R204" si="75">VLOOKUP(G203,$A$2:$B$349,2,0)</f>
        <v>99008</v>
      </c>
      <c r="H204" s="190">
        <f t="shared" si="75"/>
        <v>104312</v>
      </c>
      <c r="I204" s="190">
        <f t="shared" si="75"/>
        <v>96356</v>
      </c>
      <c r="J204" s="190">
        <f t="shared" si="75"/>
        <v>96356</v>
      </c>
      <c r="K204" s="190">
        <f t="shared" si="75"/>
        <v>96356</v>
      </c>
      <c r="L204" s="190">
        <f t="shared" si="75"/>
        <v>96356</v>
      </c>
      <c r="M204" s="190">
        <f t="shared" si="75"/>
        <v>96356</v>
      </c>
      <c r="N204" s="190">
        <f t="shared" si="75"/>
        <v>96356</v>
      </c>
      <c r="O204" s="190">
        <f t="shared" si="75"/>
        <v>98124</v>
      </c>
      <c r="P204" s="190">
        <f t="shared" si="75"/>
        <v>94588</v>
      </c>
      <c r="Q204" s="190">
        <f t="shared" si="75"/>
        <v>91806</v>
      </c>
      <c r="R204" s="190">
        <f t="shared" si="75"/>
        <v>91806</v>
      </c>
      <c r="S204" s="382"/>
      <c r="T204" s="112"/>
      <c r="U204" s="112"/>
      <c r="V204" s="112"/>
    </row>
    <row r="205" spans="1:22" ht="15.6" customHeight="1" x14ac:dyDescent="0.25">
      <c r="A205" s="127">
        <v>40969</v>
      </c>
      <c r="B205" s="186">
        <f>Input!R$48</f>
        <v>41080</v>
      </c>
      <c r="D205" s="375" t="s">
        <v>214</v>
      </c>
      <c r="E205" s="376"/>
      <c r="F205" s="377"/>
      <c r="G205" s="189">
        <f>+EDATE(R203,-1)</f>
        <v>43556</v>
      </c>
      <c r="H205" s="189">
        <f t="shared" ref="H205:R205" si="76">+EDATE(G205,-1)</f>
        <v>43525</v>
      </c>
      <c r="I205" s="189">
        <f t="shared" si="76"/>
        <v>43497</v>
      </c>
      <c r="J205" s="189">
        <f t="shared" si="76"/>
        <v>43466</v>
      </c>
      <c r="K205" s="189">
        <f t="shared" si="76"/>
        <v>43435</v>
      </c>
      <c r="L205" s="189">
        <f t="shared" si="76"/>
        <v>43405</v>
      </c>
      <c r="M205" s="189">
        <f t="shared" si="76"/>
        <v>43374</v>
      </c>
      <c r="N205" s="189">
        <f t="shared" si="76"/>
        <v>43344</v>
      </c>
      <c r="O205" s="189">
        <f t="shared" si="76"/>
        <v>43313</v>
      </c>
      <c r="P205" s="189">
        <f t="shared" si="76"/>
        <v>43282</v>
      </c>
      <c r="Q205" s="189">
        <f t="shared" si="76"/>
        <v>43252</v>
      </c>
      <c r="R205" s="189">
        <f t="shared" si="76"/>
        <v>43221</v>
      </c>
      <c r="S205" s="382"/>
      <c r="T205" s="112"/>
      <c r="U205" s="112"/>
      <c r="V205" s="112"/>
    </row>
    <row r="206" spans="1:22" ht="15.6" customHeight="1" x14ac:dyDescent="0.25">
      <c r="A206" s="127">
        <v>41000</v>
      </c>
      <c r="B206" s="186">
        <f>Input!G$50</f>
        <v>42900</v>
      </c>
      <c r="D206" s="384" t="s">
        <v>200</v>
      </c>
      <c r="E206" s="385"/>
      <c r="F206" s="386"/>
      <c r="G206" s="190">
        <f t="shared" ref="G206:R206" si="77">VLOOKUP(G205,$A$2:$B$349,2,0)</f>
        <v>91806</v>
      </c>
      <c r="H206" s="190">
        <f t="shared" si="77"/>
        <v>95238</v>
      </c>
      <c r="I206" s="190">
        <f t="shared" si="77"/>
        <v>90090</v>
      </c>
      <c r="J206" s="190">
        <f t="shared" si="77"/>
        <v>90090</v>
      </c>
      <c r="K206" s="190">
        <f t="shared" si="77"/>
        <v>90090</v>
      </c>
      <c r="L206" s="190">
        <f t="shared" si="77"/>
        <v>90090</v>
      </c>
      <c r="M206" s="190">
        <f t="shared" si="77"/>
        <v>90090</v>
      </c>
      <c r="N206" s="190">
        <f t="shared" si="77"/>
        <v>91806</v>
      </c>
      <c r="O206" s="190">
        <f t="shared" si="77"/>
        <v>89232</v>
      </c>
      <c r="P206" s="190">
        <f t="shared" si="77"/>
        <v>89232</v>
      </c>
      <c r="Q206" s="190">
        <f t="shared" si="77"/>
        <v>186250</v>
      </c>
      <c r="R206" s="190">
        <f t="shared" si="77"/>
        <v>76157</v>
      </c>
      <c r="S206" s="382"/>
      <c r="T206" s="112"/>
      <c r="U206" s="112"/>
      <c r="V206" s="112"/>
    </row>
    <row r="207" spans="1:22" ht="15.6" customHeight="1" x14ac:dyDescent="0.25">
      <c r="A207" s="127">
        <v>41030</v>
      </c>
      <c r="B207" s="186">
        <f>Input!H$50</f>
        <v>42900</v>
      </c>
      <c r="D207" s="375" t="s">
        <v>214</v>
      </c>
      <c r="E207" s="376"/>
      <c r="F207" s="377"/>
      <c r="G207" s="189">
        <f>+EDATE(R205,-1)</f>
        <v>43191</v>
      </c>
      <c r="H207" s="189">
        <f t="shared" ref="H207:R207" si="78">+EDATE(G207,-1)</f>
        <v>43160</v>
      </c>
      <c r="I207" s="189">
        <f t="shared" si="78"/>
        <v>43132</v>
      </c>
      <c r="J207" s="189">
        <f t="shared" si="78"/>
        <v>43101</v>
      </c>
      <c r="K207" s="189">
        <f t="shared" si="78"/>
        <v>43070</v>
      </c>
      <c r="L207" s="189">
        <f t="shared" si="78"/>
        <v>43040</v>
      </c>
      <c r="M207" s="189">
        <f t="shared" si="78"/>
        <v>43009</v>
      </c>
      <c r="N207" s="189">
        <f t="shared" si="78"/>
        <v>42979</v>
      </c>
      <c r="O207" s="189">
        <f t="shared" si="78"/>
        <v>42948</v>
      </c>
      <c r="P207" s="189">
        <f t="shared" si="78"/>
        <v>42917</v>
      </c>
      <c r="Q207" s="189">
        <f t="shared" si="78"/>
        <v>42887</v>
      </c>
      <c r="R207" s="189">
        <f t="shared" si="78"/>
        <v>42856</v>
      </c>
      <c r="S207" s="382"/>
    </row>
    <row r="208" spans="1:22" ht="15.6" customHeight="1" x14ac:dyDescent="0.25">
      <c r="A208" s="127">
        <v>41061</v>
      </c>
      <c r="B208" s="186">
        <f>Input!I$50</f>
        <v>48360</v>
      </c>
      <c r="D208" s="384" t="s">
        <v>200</v>
      </c>
      <c r="E208" s="385"/>
      <c r="F208" s="386"/>
      <c r="G208" s="190">
        <f t="shared" ref="G208:R208" si="79">VLOOKUP(G207,$A$2:$B$349,2,0)</f>
        <v>76157</v>
      </c>
      <c r="H208" s="190">
        <f t="shared" si="79"/>
        <v>78739</v>
      </c>
      <c r="I208" s="190">
        <f t="shared" si="79"/>
        <v>74866</v>
      </c>
      <c r="J208" s="190">
        <f t="shared" si="79"/>
        <v>74866</v>
      </c>
      <c r="K208" s="190">
        <f t="shared" si="79"/>
        <v>83704</v>
      </c>
      <c r="L208" s="190">
        <f t="shared" si="79"/>
        <v>77272</v>
      </c>
      <c r="M208" s="190">
        <f t="shared" si="79"/>
        <v>73688</v>
      </c>
      <c r="N208" s="190">
        <f t="shared" si="79"/>
        <v>73628</v>
      </c>
      <c r="O208" s="190">
        <f t="shared" si="79"/>
        <v>70889</v>
      </c>
      <c r="P208" s="190">
        <f t="shared" si="79"/>
        <v>69060</v>
      </c>
      <c r="Q208" s="190">
        <f t="shared" si="79"/>
        <v>67200</v>
      </c>
      <c r="R208" s="190">
        <f t="shared" si="79"/>
        <v>72291</v>
      </c>
      <c r="S208" s="382"/>
    </row>
    <row r="209" spans="1:19" ht="15.6" customHeight="1" x14ac:dyDescent="0.25">
      <c r="A209" s="127">
        <v>41091</v>
      </c>
      <c r="B209" s="186">
        <f>Input!J$50</f>
        <v>44187</v>
      </c>
      <c r="D209" s="375" t="s">
        <v>214</v>
      </c>
      <c r="E209" s="376"/>
      <c r="F209" s="377"/>
      <c r="G209" s="189">
        <f>+EDATE(R207,-1)</f>
        <v>42826</v>
      </c>
      <c r="H209" s="189">
        <f t="shared" ref="H209:R209" si="80">+EDATE(G209,-1)</f>
        <v>42795</v>
      </c>
      <c r="I209" s="189">
        <f t="shared" si="80"/>
        <v>42767</v>
      </c>
      <c r="J209" s="189">
        <f t="shared" si="80"/>
        <v>42736</v>
      </c>
      <c r="K209" s="189">
        <f t="shared" si="80"/>
        <v>42705</v>
      </c>
      <c r="L209" s="189">
        <f t="shared" si="80"/>
        <v>42675</v>
      </c>
      <c r="M209" s="189">
        <f t="shared" si="80"/>
        <v>42644</v>
      </c>
      <c r="N209" s="189">
        <f t="shared" si="80"/>
        <v>42614</v>
      </c>
      <c r="O209" s="189">
        <f t="shared" si="80"/>
        <v>42583</v>
      </c>
      <c r="P209" s="189">
        <f t="shared" si="80"/>
        <v>42552</v>
      </c>
      <c r="Q209" s="189">
        <f t="shared" si="80"/>
        <v>42522</v>
      </c>
      <c r="R209" s="189">
        <f t="shared" si="80"/>
        <v>42491</v>
      </c>
      <c r="S209" s="382"/>
    </row>
    <row r="210" spans="1:19" ht="15.6" customHeight="1" x14ac:dyDescent="0.25">
      <c r="A210" s="127">
        <v>41122</v>
      </c>
      <c r="B210" s="186">
        <f>Input!K$50</f>
        <v>44187</v>
      </c>
      <c r="D210" s="384" t="s">
        <v>200</v>
      </c>
      <c r="E210" s="385"/>
      <c r="F210" s="386"/>
      <c r="G210" s="190">
        <f t="shared" ref="G210:R210" si="81">VLOOKUP(G209,$A$2:$B$349,2,0)</f>
        <v>66240</v>
      </c>
      <c r="H210" s="190">
        <f t="shared" si="81"/>
        <v>65323</v>
      </c>
      <c r="I210" s="190">
        <f t="shared" si="81"/>
        <v>65323</v>
      </c>
      <c r="J210" s="190">
        <f t="shared" si="81"/>
        <v>65203</v>
      </c>
      <c r="K210" s="190">
        <f t="shared" si="81"/>
        <v>65263</v>
      </c>
      <c r="L210" s="190">
        <f t="shared" si="81"/>
        <v>64123</v>
      </c>
      <c r="M210" s="190">
        <f t="shared" si="81"/>
        <v>67637</v>
      </c>
      <c r="N210" s="190">
        <f t="shared" si="81"/>
        <v>64123</v>
      </c>
      <c r="O210" s="190">
        <f t="shared" si="81"/>
        <v>62366</v>
      </c>
      <c r="P210" s="190">
        <f t="shared" si="81"/>
        <v>62366</v>
      </c>
      <c r="Q210" s="190">
        <f t="shared" si="81"/>
        <v>60535</v>
      </c>
      <c r="R210" s="190">
        <f t="shared" si="81"/>
        <v>60535</v>
      </c>
      <c r="S210" s="383"/>
    </row>
    <row r="211" spans="1:19" x14ac:dyDescent="0.25">
      <c r="A211" s="127">
        <v>41153</v>
      </c>
      <c r="B211" s="186">
        <f>Input!L$50</f>
        <v>44187</v>
      </c>
      <c r="G211" s="112"/>
      <c r="H211" s="112"/>
      <c r="I211" s="112"/>
      <c r="J211" s="112"/>
      <c r="K211" s="112"/>
      <c r="L211" s="112"/>
      <c r="M211" s="112"/>
      <c r="N211" s="112"/>
      <c r="O211" s="112"/>
      <c r="P211" s="112"/>
      <c r="Q211" s="112"/>
      <c r="R211" s="112"/>
    </row>
    <row r="212" spans="1:19" x14ac:dyDescent="0.25">
      <c r="A212" s="127">
        <v>41183</v>
      </c>
      <c r="B212" s="186">
        <f>Input!M$50</f>
        <v>46062</v>
      </c>
      <c r="G212" s="112"/>
      <c r="H212" s="112"/>
      <c r="I212" s="112"/>
      <c r="J212" s="112"/>
      <c r="K212" s="112"/>
      <c r="L212" s="112"/>
      <c r="M212" s="112"/>
      <c r="N212" s="112"/>
      <c r="O212" s="112"/>
      <c r="P212" s="112"/>
      <c r="Q212" s="112"/>
      <c r="R212" s="112"/>
    </row>
    <row r="213" spans="1:19" x14ac:dyDescent="0.25">
      <c r="A213" s="127">
        <v>41214</v>
      </c>
      <c r="B213" s="186">
        <f>Input!N$50</f>
        <v>51687</v>
      </c>
      <c r="G213" s="29"/>
      <c r="H213" s="29"/>
      <c r="I213" s="29"/>
      <c r="J213" s="29"/>
      <c r="K213" s="29"/>
      <c r="L213" s="29"/>
      <c r="M213" s="29"/>
      <c r="N213" s="29"/>
      <c r="O213" s="29"/>
      <c r="P213" s="29"/>
      <c r="Q213" s="29"/>
      <c r="R213" s="29"/>
    </row>
    <row r="214" spans="1:19" x14ac:dyDescent="0.25">
      <c r="A214" s="127">
        <v>41244</v>
      </c>
      <c r="B214" s="186">
        <f>Input!O$50</f>
        <v>46062</v>
      </c>
    </row>
    <row r="215" spans="1:19" x14ac:dyDescent="0.25">
      <c r="A215" s="127">
        <v>41275</v>
      </c>
      <c r="B215" s="186">
        <f>Input!P$50</f>
        <v>46062</v>
      </c>
    </row>
    <row r="216" spans="1:19" x14ac:dyDescent="0.25">
      <c r="A216" s="127">
        <v>41306</v>
      </c>
      <c r="B216" s="186">
        <f>Input!Q$50</f>
        <v>46062</v>
      </c>
    </row>
    <row r="217" spans="1:19" x14ac:dyDescent="0.25">
      <c r="A217" s="127">
        <v>41334</v>
      </c>
      <c r="B217" s="186">
        <f>Input!R$50</f>
        <v>46062</v>
      </c>
    </row>
    <row r="218" spans="1:19" x14ac:dyDescent="0.25">
      <c r="A218" s="127">
        <v>41365</v>
      </c>
      <c r="B218" s="186">
        <f>Input!G$52</f>
        <v>46062</v>
      </c>
    </row>
    <row r="219" spans="1:19" x14ac:dyDescent="0.25">
      <c r="A219" s="127">
        <v>41395</v>
      </c>
      <c r="B219" s="186">
        <f>Input!H$52</f>
        <v>56772</v>
      </c>
    </row>
    <row r="220" spans="1:19" x14ac:dyDescent="0.25">
      <c r="A220" s="127">
        <v>41426</v>
      </c>
      <c r="B220" s="186">
        <f>Input!I$52</f>
        <v>48204</v>
      </c>
    </row>
    <row r="221" spans="1:19" x14ac:dyDescent="0.25">
      <c r="A221" s="127">
        <v>41456</v>
      </c>
      <c r="B221" s="186">
        <f>Input!J$52</f>
        <v>49662</v>
      </c>
    </row>
    <row r="222" spans="1:19" x14ac:dyDescent="0.25">
      <c r="A222" s="127">
        <v>41487</v>
      </c>
      <c r="B222" s="186">
        <f>Input!K$52</f>
        <v>49662</v>
      </c>
    </row>
    <row r="223" spans="1:19" x14ac:dyDescent="0.25">
      <c r="A223" s="127">
        <v>41518</v>
      </c>
      <c r="B223" s="186">
        <f>Input!L$52</f>
        <v>57939</v>
      </c>
    </row>
    <row r="224" spans="1:19" x14ac:dyDescent="0.25">
      <c r="A224" s="127">
        <v>41548</v>
      </c>
      <c r="B224" s="186">
        <f>Input!M$52</f>
        <v>52421</v>
      </c>
    </row>
    <row r="225" spans="1:2" x14ac:dyDescent="0.25">
      <c r="A225" s="127">
        <v>41579</v>
      </c>
      <c r="B225" s="186">
        <f>Input!N$52</f>
        <v>52421</v>
      </c>
    </row>
    <row r="226" spans="1:2" x14ac:dyDescent="0.25">
      <c r="A226" s="127">
        <v>41609</v>
      </c>
      <c r="B226" s="186">
        <f>Input!O$52</f>
        <v>52421</v>
      </c>
    </row>
    <row r="227" spans="1:2" x14ac:dyDescent="0.25">
      <c r="A227" s="127">
        <v>41640</v>
      </c>
      <c r="B227" s="186">
        <f>Input!P$52</f>
        <v>52421</v>
      </c>
    </row>
    <row r="228" spans="1:2" x14ac:dyDescent="0.25">
      <c r="A228" s="127">
        <v>41671</v>
      </c>
      <c r="B228" s="186">
        <f>Input!Q$52</f>
        <v>52421</v>
      </c>
    </row>
    <row r="229" spans="1:2" x14ac:dyDescent="0.25">
      <c r="A229" s="127">
        <v>41699</v>
      </c>
      <c r="B229" s="186">
        <f>Input!R$52</f>
        <v>52421</v>
      </c>
    </row>
    <row r="230" spans="1:2" x14ac:dyDescent="0.25">
      <c r="A230" s="127">
        <v>41730</v>
      </c>
      <c r="B230" s="186">
        <f>Input!G$54</f>
        <v>63457</v>
      </c>
    </row>
    <row r="231" spans="1:2" x14ac:dyDescent="0.25">
      <c r="A231" s="127">
        <v>41760</v>
      </c>
      <c r="B231" s="186">
        <f>Input!H$54</f>
        <v>55180</v>
      </c>
    </row>
    <row r="232" spans="1:2" x14ac:dyDescent="0.25">
      <c r="A232" s="127">
        <v>41791</v>
      </c>
      <c r="B232" s="186">
        <f>Input!I$54</f>
        <v>55180</v>
      </c>
    </row>
    <row r="233" spans="1:2" x14ac:dyDescent="0.25">
      <c r="A233" s="127">
        <v>41821</v>
      </c>
      <c r="B233" s="186">
        <f>Input!J$54</f>
        <v>56840</v>
      </c>
    </row>
    <row r="234" spans="1:2" x14ac:dyDescent="0.25">
      <c r="A234" s="127">
        <v>41852</v>
      </c>
      <c r="B234" s="186">
        <f>Input!K$54</f>
        <v>56840</v>
      </c>
    </row>
    <row r="235" spans="1:2" x14ac:dyDescent="0.25">
      <c r="A235" s="127">
        <v>41883</v>
      </c>
      <c r="B235" s="186">
        <f>Input!L$54</f>
        <v>58829</v>
      </c>
    </row>
    <row r="236" spans="1:2" x14ac:dyDescent="0.25">
      <c r="A236" s="127">
        <v>41913</v>
      </c>
      <c r="B236" s="186">
        <f>Input!M$54</f>
        <v>58829</v>
      </c>
    </row>
    <row r="237" spans="1:2" x14ac:dyDescent="0.25">
      <c r="A237" s="127">
        <v>41944</v>
      </c>
      <c r="B237" s="186">
        <f>Input!N$54</f>
        <v>62807</v>
      </c>
    </row>
    <row r="238" spans="1:2" x14ac:dyDescent="0.25">
      <c r="A238" s="127">
        <v>41974</v>
      </c>
      <c r="B238" s="186">
        <f>Input!O$54</f>
        <v>58829</v>
      </c>
    </row>
    <row r="239" spans="1:2" x14ac:dyDescent="0.25">
      <c r="A239" s="127">
        <v>42005</v>
      </c>
      <c r="B239" s="186">
        <f>Input!P$54</f>
        <v>58829</v>
      </c>
    </row>
    <row r="240" spans="1:2" x14ac:dyDescent="0.25">
      <c r="A240" s="127">
        <v>42036</v>
      </c>
      <c r="B240" s="186">
        <f>Input!Q$54</f>
        <v>29415</v>
      </c>
    </row>
    <row r="241" spans="1:2" x14ac:dyDescent="0.25">
      <c r="A241" s="127">
        <v>42064</v>
      </c>
      <c r="B241" s="186">
        <f>Input!R$54</f>
        <v>63031</v>
      </c>
    </row>
    <row r="242" spans="1:2" x14ac:dyDescent="0.25">
      <c r="A242" s="127">
        <v>42095</v>
      </c>
      <c r="B242" s="186">
        <f>Input!G$56</f>
        <v>64921</v>
      </c>
    </row>
    <row r="243" spans="1:2" x14ac:dyDescent="0.25">
      <c r="A243" s="127">
        <v>42125</v>
      </c>
      <c r="B243" s="186">
        <f>Input!H$56</f>
        <v>60535</v>
      </c>
    </row>
    <row r="244" spans="1:2" x14ac:dyDescent="0.25">
      <c r="A244" s="127">
        <v>42156</v>
      </c>
      <c r="B244" s="186">
        <f>Input!I$56</f>
        <v>60535</v>
      </c>
    </row>
    <row r="245" spans="1:2" x14ac:dyDescent="0.25">
      <c r="A245" s="127">
        <v>42186</v>
      </c>
      <c r="B245" s="186">
        <f>Input!J$56</f>
        <v>62366</v>
      </c>
    </row>
    <row r="246" spans="1:2" x14ac:dyDescent="0.25">
      <c r="A246" s="127">
        <v>42217</v>
      </c>
      <c r="B246" s="186">
        <f>Input!K$56</f>
        <v>62366</v>
      </c>
    </row>
    <row r="247" spans="1:2" x14ac:dyDescent="0.25">
      <c r="A247" s="127">
        <v>42248</v>
      </c>
      <c r="B247" s="186">
        <f>Input!L$56</f>
        <v>64123</v>
      </c>
    </row>
    <row r="248" spans="1:2" x14ac:dyDescent="0.25">
      <c r="A248" s="127">
        <v>42278</v>
      </c>
      <c r="B248" s="186">
        <f>Input!M$56</f>
        <v>67637</v>
      </c>
    </row>
    <row r="249" spans="1:2" x14ac:dyDescent="0.25">
      <c r="A249" s="127">
        <v>42309</v>
      </c>
      <c r="B249" s="186">
        <f>Input!N$56</f>
        <v>64123</v>
      </c>
    </row>
    <row r="250" spans="1:2" x14ac:dyDescent="0.25">
      <c r="A250" s="127">
        <v>42339</v>
      </c>
      <c r="B250" s="186">
        <f>Input!O$56</f>
        <v>65263</v>
      </c>
    </row>
    <row r="251" spans="1:2" x14ac:dyDescent="0.25">
      <c r="A251" s="127">
        <v>42370</v>
      </c>
      <c r="B251" s="186">
        <f>Input!P$56</f>
        <v>65203</v>
      </c>
    </row>
    <row r="252" spans="1:2" x14ac:dyDescent="0.25">
      <c r="A252" s="127">
        <v>42401</v>
      </c>
      <c r="B252" s="186">
        <f>Input!Q$56</f>
        <v>65323</v>
      </c>
    </row>
    <row r="253" spans="1:2" x14ac:dyDescent="0.25">
      <c r="A253" s="127">
        <v>42430</v>
      </c>
      <c r="B253" s="186">
        <f>Input!R$56</f>
        <v>65323</v>
      </c>
    </row>
    <row r="254" spans="1:2" x14ac:dyDescent="0.25">
      <c r="A254" s="127">
        <v>42461</v>
      </c>
      <c r="B254" s="186">
        <f>Input!G$56</f>
        <v>64921</v>
      </c>
    </row>
    <row r="255" spans="1:2" x14ac:dyDescent="0.25">
      <c r="A255" s="127">
        <v>42491</v>
      </c>
      <c r="B255" s="186">
        <f>Input!H$56</f>
        <v>60535</v>
      </c>
    </row>
    <row r="256" spans="1:2" x14ac:dyDescent="0.25">
      <c r="A256" s="127">
        <v>42522</v>
      </c>
      <c r="B256" s="186">
        <f>Input!I$56</f>
        <v>60535</v>
      </c>
    </row>
    <row r="257" spans="1:2" x14ac:dyDescent="0.25">
      <c r="A257" s="127">
        <v>42552</v>
      </c>
      <c r="B257" s="186">
        <f>Input!J$56</f>
        <v>62366</v>
      </c>
    </row>
    <row r="258" spans="1:2" x14ac:dyDescent="0.25">
      <c r="A258" s="127">
        <v>42583</v>
      </c>
      <c r="B258" s="186">
        <f>Input!K$56</f>
        <v>62366</v>
      </c>
    </row>
    <row r="259" spans="1:2" x14ac:dyDescent="0.25">
      <c r="A259" s="127">
        <v>42614</v>
      </c>
      <c r="B259" s="186">
        <f>Input!L$56</f>
        <v>64123</v>
      </c>
    </row>
    <row r="260" spans="1:2" x14ac:dyDescent="0.25">
      <c r="A260" s="127">
        <v>42644</v>
      </c>
      <c r="B260" s="186">
        <f>Input!M$56</f>
        <v>67637</v>
      </c>
    </row>
    <row r="261" spans="1:2" x14ac:dyDescent="0.25">
      <c r="A261" s="127">
        <v>42675</v>
      </c>
      <c r="B261" s="186">
        <f>Input!N$56</f>
        <v>64123</v>
      </c>
    </row>
    <row r="262" spans="1:2" x14ac:dyDescent="0.25">
      <c r="A262" s="127">
        <v>42705</v>
      </c>
      <c r="B262" s="186">
        <f>Input!O$56</f>
        <v>65263</v>
      </c>
    </row>
    <row r="263" spans="1:2" x14ac:dyDescent="0.25">
      <c r="A263" s="127">
        <v>42736</v>
      </c>
      <c r="B263" s="186">
        <f>Input!P$56</f>
        <v>65203</v>
      </c>
    </row>
    <row r="264" spans="1:2" x14ac:dyDescent="0.25">
      <c r="A264" s="127">
        <v>42767</v>
      </c>
      <c r="B264" s="186">
        <f>Input!Q$56</f>
        <v>65323</v>
      </c>
    </row>
    <row r="265" spans="1:2" x14ac:dyDescent="0.25">
      <c r="A265" s="127">
        <v>42795</v>
      </c>
      <c r="B265" s="186">
        <f>Input!R$56</f>
        <v>65323</v>
      </c>
    </row>
    <row r="266" spans="1:2" x14ac:dyDescent="0.25">
      <c r="A266" s="127">
        <v>42826</v>
      </c>
      <c r="B266" s="186">
        <f>Input!G$58</f>
        <v>66240</v>
      </c>
    </row>
    <row r="267" spans="1:2" x14ac:dyDescent="0.25">
      <c r="A267" s="127">
        <v>42856</v>
      </c>
      <c r="B267" s="186">
        <f>Input!H$58</f>
        <v>72291</v>
      </c>
    </row>
    <row r="268" spans="1:2" x14ac:dyDescent="0.25">
      <c r="A268" s="127">
        <v>42887</v>
      </c>
      <c r="B268" s="186">
        <f>Input!I$58</f>
        <v>67200</v>
      </c>
    </row>
    <row r="269" spans="1:2" x14ac:dyDescent="0.25">
      <c r="A269" s="127">
        <v>42917</v>
      </c>
      <c r="B269" s="186">
        <f>Input!J$58</f>
        <v>69060</v>
      </c>
    </row>
    <row r="270" spans="1:2" x14ac:dyDescent="0.25">
      <c r="A270" s="127">
        <v>42948</v>
      </c>
      <c r="B270" s="186">
        <f>Input!K$58</f>
        <v>70889</v>
      </c>
    </row>
    <row r="271" spans="1:2" x14ac:dyDescent="0.25">
      <c r="A271" s="127">
        <v>42979</v>
      </c>
      <c r="B271" s="186">
        <f>Input!L$58</f>
        <v>73628</v>
      </c>
    </row>
    <row r="272" spans="1:2" x14ac:dyDescent="0.25">
      <c r="A272" s="127">
        <v>43009</v>
      </c>
      <c r="B272" s="186">
        <f>Input!M$58</f>
        <v>73688</v>
      </c>
    </row>
    <row r="273" spans="1:2" x14ac:dyDescent="0.25">
      <c r="A273" s="127">
        <v>43040</v>
      </c>
      <c r="B273" s="186">
        <f>Input!N$58</f>
        <v>77272</v>
      </c>
    </row>
    <row r="274" spans="1:2" x14ac:dyDescent="0.25">
      <c r="A274" s="127">
        <v>43070</v>
      </c>
      <c r="B274" s="186">
        <f>Input!O$58</f>
        <v>83704</v>
      </c>
    </row>
    <row r="275" spans="1:2" x14ac:dyDescent="0.25">
      <c r="A275" s="127">
        <v>43101</v>
      </c>
      <c r="B275" s="186">
        <f>Input!P$58</f>
        <v>74866</v>
      </c>
    </row>
    <row r="276" spans="1:2" x14ac:dyDescent="0.25">
      <c r="A276" s="127">
        <v>43132</v>
      </c>
      <c r="B276" s="186">
        <f>Input!Q$58</f>
        <v>74866</v>
      </c>
    </row>
    <row r="277" spans="1:2" x14ac:dyDescent="0.25">
      <c r="A277" s="127">
        <v>43160</v>
      </c>
      <c r="B277" s="186">
        <f>Input!R$58</f>
        <v>78739</v>
      </c>
    </row>
    <row r="278" spans="1:2" x14ac:dyDescent="0.25">
      <c r="A278" s="127">
        <v>43191</v>
      </c>
      <c r="B278" s="186">
        <f>Input!G$60</f>
        <v>76157</v>
      </c>
    </row>
    <row r="279" spans="1:2" x14ac:dyDescent="0.25">
      <c r="A279" s="127">
        <v>43221</v>
      </c>
      <c r="B279" s="186">
        <f>Input!H$60</f>
        <v>76157</v>
      </c>
    </row>
    <row r="280" spans="1:2" x14ac:dyDescent="0.25">
      <c r="A280" s="127">
        <v>43252</v>
      </c>
      <c r="B280" s="186">
        <f>Input!I$60</f>
        <v>186250</v>
      </c>
    </row>
    <row r="281" spans="1:2" x14ac:dyDescent="0.25">
      <c r="A281" s="127">
        <v>43282</v>
      </c>
      <c r="B281" s="186">
        <f>Input!J$60</f>
        <v>89232</v>
      </c>
    </row>
    <row r="282" spans="1:2" x14ac:dyDescent="0.25">
      <c r="A282" s="127">
        <v>43313</v>
      </c>
      <c r="B282" s="186">
        <f>Input!K$60</f>
        <v>89232</v>
      </c>
    </row>
    <row r="283" spans="1:2" x14ac:dyDescent="0.25">
      <c r="A283" s="127">
        <v>43344</v>
      </c>
      <c r="B283" s="186">
        <f>Input!L$60</f>
        <v>91806</v>
      </c>
    </row>
    <row r="284" spans="1:2" x14ac:dyDescent="0.25">
      <c r="A284" s="127">
        <v>43374</v>
      </c>
      <c r="B284" s="186">
        <f>Input!M$60</f>
        <v>90090</v>
      </c>
    </row>
    <row r="285" spans="1:2" x14ac:dyDescent="0.25">
      <c r="A285" s="127">
        <v>43405</v>
      </c>
      <c r="B285" s="186">
        <f>Input!N$60</f>
        <v>90090</v>
      </c>
    </row>
    <row r="286" spans="1:2" x14ac:dyDescent="0.25">
      <c r="A286" s="127">
        <v>43435</v>
      </c>
      <c r="B286" s="186">
        <f>Input!O$60</f>
        <v>90090</v>
      </c>
    </row>
    <row r="287" spans="1:2" x14ac:dyDescent="0.25">
      <c r="A287" s="127">
        <v>43466</v>
      </c>
      <c r="B287" s="186">
        <f>Input!P$60</f>
        <v>90090</v>
      </c>
    </row>
    <row r="288" spans="1:2" x14ac:dyDescent="0.25">
      <c r="A288" s="127">
        <v>43497</v>
      </c>
      <c r="B288" s="186">
        <f>Input!Q$60</f>
        <v>90090</v>
      </c>
    </row>
    <row r="289" spans="1:2" x14ac:dyDescent="0.25">
      <c r="A289" s="127">
        <v>43525</v>
      </c>
      <c r="B289" s="186">
        <f>Input!R$60</f>
        <v>95238</v>
      </c>
    </row>
    <row r="290" spans="1:2" x14ac:dyDescent="0.25">
      <c r="A290" s="127">
        <v>43556</v>
      </c>
      <c r="B290" s="186">
        <f>Input!G$62</f>
        <v>91806</v>
      </c>
    </row>
    <row r="291" spans="1:2" x14ac:dyDescent="0.25">
      <c r="A291" s="127">
        <v>43586</v>
      </c>
      <c r="B291" s="186">
        <f>Input!H$62</f>
        <v>91806</v>
      </c>
    </row>
    <row r="292" spans="1:2" x14ac:dyDescent="0.25">
      <c r="A292" s="127">
        <v>43617</v>
      </c>
      <c r="B292" s="186">
        <f>Input!I$62</f>
        <v>91806</v>
      </c>
    </row>
    <row r="293" spans="1:2" x14ac:dyDescent="0.25">
      <c r="A293" s="127">
        <v>43647</v>
      </c>
      <c r="B293" s="186">
        <f>Input!J$62</f>
        <v>94588</v>
      </c>
    </row>
    <row r="294" spans="1:2" x14ac:dyDescent="0.25">
      <c r="A294" s="127">
        <v>43678</v>
      </c>
      <c r="B294" s="186">
        <f>Input!K$62</f>
        <v>98124</v>
      </c>
    </row>
    <row r="295" spans="1:2" x14ac:dyDescent="0.25">
      <c r="A295" s="127">
        <v>43709</v>
      </c>
      <c r="B295" s="186">
        <f>Input!L$62</f>
        <v>96356</v>
      </c>
    </row>
    <row r="296" spans="1:2" x14ac:dyDescent="0.25">
      <c r="A296" s="127">
        <v>43739</v>
      </c>
      <c r="B296" s="186">
        <f>Input!M$62</f>
        <v>96356</v>
      </c>
    </row>
    <row r="297" spans="1:2" x14ac:dyDescent="0.25">
      <c r="A297" s="127">
        <v>43770</v>
      </c>
      <c r="B297" s="186">
        <f>Input!N$62</f>
        <v>96356</v>
      </c>
    </row>
    <row r="298" spans="1:2" x14ac:dyDescent="0.25">
      <c r="A298" s="127">
        <v>43800</v>
      </c>
      <c r="B298" s="186">
        <f>Input!O$62</f>
        <v>96356</v>
      </c>
    </row>
    <row r="299" spans="1:2" x14ac:dyDescent="0.25">
      <c r="A299" s="127">
        <v>43831</v>
      </c>
      <c r="B299" s="186">
        <f>Input!P$62</f>
        <v>96356</v>
      </c>
    </row>
    <row r="300" spans="1:2" x14ac:dyDescent="0.25">
      <c r="A300" s="127">
        <v>43862</v>
      </c>
      <c r="B300" s="186">
        <f>Input!Q$62</f>
        <v>96356</v>
      </c>
    </row>
    <row r="301" spans="1:2" x14ac:dyDescent="0.25">
      <c r="A301" s="127">
        <v>43891</v>
      </c>
      <c r="B301" s="186">
        <f>Input!R$62</f>
        <v>104312</v>
      </c>
    </row>
    <row r="302" spans="1:2" x14ac:dyDescent="0.25">
      <c r="A302" s="127">
        <v>43922</v>
      </c>
      <c r="B302" s="186">
        <f>Input!G$64</f>
        <v>99008</v>
      </c>
    </row>
    <row r="303" spans="1:2" x14ac:dyDescent="0.25">
      <c r="A303" s="127">
        <v>43952</v>
      </c>
      <c r="B303" s="186">
        <f>Input!H$64</f>
        <v>99008</v>
      </c>
    </row>
    <row r="304" spans="1:2" x14ac:dyDescent="0.25">
      <c r="A304" s="127">
        <v>43983</v>
      </c>
      <c r="B304" s="186">
        <f>Input!I$64</f>
        <v>99008</v>
      </c>
    </row>
    <row r="305" spans="1:2" x14ac:dyDescent="0.25">
      <c r="A305" s="127">
        <v>44013</v>
      </c>
      <c r="B305" s="186">
        <f>Input!J$64</f>
        <v>65047</v>
      </c>
    </row>
    <row r="306" spans="1:2" x14ac:dyDescent="0.25">
      <c r="A306" s="127">
        <v>44044</v>
      </c>
      <c r="B306" s="186">
        <f>Input!K$64</f>
        <v>102032</v>
      </c>
    </row>
    <row r="307" spans="1:2" x14ac:dyDescent="0.25">
      <c r="A307" s="127">
        <v>44075</v>
      </c>
      <c r="B307" s="186">
        <f>Input!L$64</f>
        <v>114046</v>
      </c>
    </row>
    <row r="308" spans="1:2" x14ac:dyDescent="0.25">
      <c r="A308" s="127">
        <v>44105</v>
      </c>
      <c r="B308" s="186">
        <f>Input!M$64</f>
        <v>106587</v>
      </c>
    </row>
    <row r="309" spans="1:2" x14ac:dyDescent="0.25">
      <c r="A309" s="127">
        <v>44136</v>
      </c>
      <c r="B309" s="186">
        <f>Input!N$64</f>
        <v>106587</v>
      </c>
    </row>
    <row r="310" spans="1:2" x14ac:dyDescent="0.25">
      <c r="A310" s="127">
        <v>44166</v>
      </c>
      <c r="B310" s="186">
        <f>Input!O$64</f>
        <v>106587</v>
      </c>
    </row>
    <row r="311" spans="1:2" x14ac:dyDescent="0.25">
      <c r="A311" s="127">
        <v>44197</v>
      </c>
      <c r="B311" s="186">
        <f>Input!P$64</f>
        <v>106587</v>
      </c>
    </row>
    <row r="312" spans="1:2" x14ac:dyDescent="0.25">
      <c r="A312" s="127">
        <v>44228</v>
      </c>
      <c r="B312" s="186">
        <f>Input!Q$64</f>
        <v>106587</v>
      </c>
    </row>
    <row r="313" spans="1:2" x14ac:dyDescent="0.25">
      <c r="A313" s="127">
        <v>44256</v>
      </c>
      <c r="B313" s="186">
        <f>Input!R$64</f>
        <v>106587</v>
      </c>
    </row>
    <row r="314" spans="1:2" x14ac:dyDescent="0.25">
      <c r="A314" s="127">
        <v>44287</v>
      </c>
      <c r="B314" s="186">
        <f>Input!G$66</f>
        <v>106587</v>
      </c>
    </row>
    <row r="315" spans="1:2" x14ac:dyDescent="0.25">
      <c r="A315" s="127">
        <v>44317</v>
      </c>
      <c r="B315" s="186">
        <f>Input!H$66</f>
        <v>106587</v>
      </c>
    </row>
    <row r="316" spans="1:2" x14ac:dyDescent="0.25">
      <c r="A316" s="127">
        <v>44348</v>
      </c>
      <c r="B316" s="186">
        <f>Input!I$66</f>
        <v>106587</v>
      </c>
    </row>
    <row r="317" spans="1:2" x14ac:dyDescent="0.25">
      <c r="A317" s="127">
        <v>44378</v>
      </c>
      <c r="B317" s="186">
        <f>Input!J$66</f>
        <v>109746</v>
      </c>
    </row>
    <row r="318" spans="1:2" x14ac:dyDescent="0.25">
      <c r="A318" s="127">
        <v>44409</v>
      </c>
      <c r="B318" s="186">
        <f>Input!K$66</f>
        <v>109746</v>
      </c>
    </row>
    <row r="319" spans="1:2" x14ac:dyDescent="0.25">
      <c r="A319" s="127">
        <v>44440</v>
      </c>
      <c r="B319" s="186">
        <f>Input!L$66</f>
        <v>109746</v>
      </c>
    </row>
    <row r="320" spans="1:2" x14ac:dyDescent="0.25">
      <c r="A320" s="127">
        <v>44470</v>
      </c>
      <c r="B320" s="186">
        <f>Input!M$66</f>
        <v>109746</v>
      </c>
    </row>
    <row r="321" spans="1:2" x14ac:dyDescent="0.25">
      <c r="A321" s="127">
        <v>44501</v>
      </c>
      <c r="B321" s="186">
        <f>Input!N$66</f>
        <v>109746</v>
      </c>
    </row>
    <row r="322" spans="1:2" x14ac:dyDescent="0.25">
      <c r="A322" s="127">
        <v>44531</v>
      </c>
      <c r="B322" s="186">
        <f>Input!O$66</f>
        <v>109746</v>
      </c>
    </row>
    <row r="323" spans="1:2" x14ac:dyDescent="0.25">
      <c r="A323" s="127">
        <v>44562</v>
      </c>
      <c r="B323" s="186">
        <f>Input!P$66</f>
        <v>109746</v>
      </c>
    </row>
    <row r="324" spans="1:2" x14ac:dyDescent="0.25">
      <c r="A324" s="127">
        <v>44593</v>
      </c>
      <c r="B324" s="186">
        <f>Input!Q$66</f>
        <v>109746</v>
      </c>
    </row>
    <row r="325" spans="1:2" x14ac:dyDescent="0.25">
      <c r="A325" s="127">
        <v>44621</v>
      </c>
      <c r="B325" s="186">
        <f>Input!R$66</f>
        <v>109746</v>
      </c>
    </row>
    <row r="326" spans="1:2" x14ac:dyDescent="0.25">
      <c r="A326" s="127">
        <v>44652</v>
      </c>
      <c r="B326" s="186">
        <f>Input!G$68</f>
        <v>109746</v>
      </c>
    </row>
    <row r="327" spans="1:2" x14ac:dyDescent="0.25">
      <c r="A327" s="127">
        <v>44682</v>
      </c>
      <c r="B327" s="186">
        <f>Input!H$68</f>
        <v>0</v>
      </c>
    </row>
    <row r="328" spans="1:2" x14ac:dyDescent="0.25">
      <c r="A328" s="127">
        <v>44713</v>
      </c>
      <c r="B328" s="186">
        <f>Input!I$68</f>
        <v>0</v>
      </c>
    </row>
    <row r="329" spans="1:2" x14ac:dyDescent="0.25">
      <c r="A329" s="127">
        <v>44743</v>
      </c>
      <c r="B329" s="186">
        <f>Input!J$68</f>
        <v>0</v>
      </c>
    </row>
    <row r="330" spans="1:2" x14ac:dyDescent="0.25">
      <c r="A330" s="127">
        <v>44774</v>
      </c>
      <c r="B330" s="186">
        <f>Input!K$68</f>
        <v>0</v>
      </c>
    </row>
    <row r="331" spans="1:2" x14ac:dyDescent="0.25">
      <c r="A331" s="127">
        <v>44805</v>
      </c>
      <c r="B331" s="186">
        <f>Input!L$68</f>
        <v>0</v>
      </c>
    </row>
    <row r="332" spans="1:2" x14ac:dyDescent="0.25">
      <c r="A332" s="127">
        <v>44835</v>
      </c>
      <c r="B332" s="186">
        <f>Input!M$68</f>
        <v>0</v>
      </c>
    </row>
    <row r="333" spans="1:2" x14ac:dyDescent="0.25">
      <c r="A333" s="127">
        <v>44866</v>
      </c>
      <c r="B333" s="186">
        <f>Input!N$68</f>
        <v>0</v>
      </c>
    </row>
    <row r="334" spans="1:2" x14ac:dyDescent="0.25">
      <c r="A334" s="127">
        <v>44896</v>
      </c>
      <c r="B334" s="186">
        <f>Input!O$68</f>
        <v>0</v>
      </c>
    </row>
    <row r="335" spans="1:2" x14ac:dyDescent="0.25">
      <c r="A335" s="127">
        <v>44927</v>
      </c>
      <c r="B335" s="186">
        <f>Input!P$68</f>
        <v>0</v>
      </c>
    </row>
    <row r="336" spans="1:2" x14ac:dyDescent="0.25">
      <c r="A336" s="127">
        <v>44958</v>
      </c>
      <c r="B336" s="186">
        <f>Input!Q$68</f>
        <v>0</v>
      </c>
    </row>
    <row r="337" spans="1:2" x14ac:dyDescent="0.25">
      <c r="A337" s="127">
        <v>44986</v>
      </c>
      <c r="B337" s="186">
        <f>Input!R$68</f>
        <v>0</v>
      </c>
    </row>
    <row r="338" spans="1:2" x14ac:dyDescent="0.25">
      <c r="A338" s="127">
        <v>45017</v>
      </c>
      <c r="B338" s="186">
        <f>Input!G$70</f>
        <v>0</v>
      </c>
    </row>
    <row r="339" spans="1:2" x14ac:dyDescent="0.25">
      <c r="A339" s="127">
        <v>45047</v>
      </c>
      <c r="B339" s="186">
        <f>Input!H$70</f>
        <v>0</v>
      </c>
    </row>
    <row r="340" spans="1:2" x14ac:dyDescent="0.25">
      <c r="A340" s="127">
        <v>45078</v>
      </c>
      <c r="B340" s="186">
        <f>Input!I$70</f>
        <v>0</v>
      </c>
    </row>
    <row r="341" spans="1:2" x14ac:dyDescent="0.25">
      <c r="A341" s="127">
        <v>45108</v>
      </c>
      <c r="B341" s="186">
        <f>Input!J$70</f>
        <v>0</v>
      </c>
    </row>
    <row r="342" spans="1:2" x14ac:dyDescent="0.25">
      <c r="A342" s="127">
        <v>45139</v>
      </c>
      <c r="B342" s="186">
        <f>Input!K$70</f>
        <v>0</v>
      </c>
    </row>
    <row r="343" spans="1:2" x14ac:dyDescent="0.25">
      <c r="A343" s="127">
        <v>45170</v>
      </c>
      <c r="B343" s="186">
        <f>Input!L$70</f>
        <v>0</v>
      </c>
    </row>
    <row r="344" spans="1:2" x14ac:dyDescent="0.25">
      <c r="A344" s="127">
        <v>45200</v>
      </c>
      <c r="B344" s="186">
        <f>Input!M$70</f>
        <v>0</v>
      </c>
    </row>
    <row r="345" spans="1:2" x14ac:dyDescent="0.25">
      <c r="A345" s="127">
        <v>45231</v>
      </c>
      <c r="B345" s="186">
        <f>Input!N$70</f>
        <v>0</v>
      </c>
    </row>
    <row r="346" spans="1:2" x14ac:dyDescent="0.25">
      <c r="A346" s="127">
        <v>45261</v>
      </c>
      <c r="B346" s="186">
        <f>Input!O$70</f>
        <v>0</v>
      </c>
    </row>
    <row r="347" spans="1:2" x14ac:dyDescent="0.25">
      <c r="A347" s="127">
        <v>45292</v>
      </c>
      <c r="B347" s="186">
        <f>Input!P$70</f>
        <v>0</v>
      </c>
    </row>
    <row r="348" spans="1:2" x14ac:dyDescent="0.25">
      <c r="A348" s="127">
        <v>45323</v>
      </c>
      <c r="B348" s="186">
        <f>Input!Q$70</f>
        <v>0</v>
      </c>
    </row>
    <row r="349" spans="1:2" x14ac:dyDescent="0.25">
      <c r="A349" s="127">
        <v>45352</v>
      </c>
      <c r="B349" s="186">
        <f>Input!R$70</f>
        <v>0</v>
      </c>
    </row>
  </sheetData>
  <sheetProtection password="EC06" sheet="1" objects="1" scenarios="1"/>
  <dataConsolidate/>
  <mergeCells count="21">
    <mergeCell ref="D203:F203"/>
    <mergeCell ref="D204:F204"/>
    <mergeCell ref="D205:F205"/>
    <mergeCell ref="D206:F206"/>
    <mergeCell ref="T13:V13"/>
    <mergeCell ref="D1:V1"/>
    <mergeCell ref="D2:V2"/>
    <mergeCell ref="D4:V4"/>
    <mergeCell ref="D200:S200"/>
    <mergeCell ref="D201:F201"/>
    <mergeCell ref="D9:I9"/>
    <mergeCell ref="Q9:V9"/>
    <mergeCell ref="J9:O9"/>
    <mergeCell ref="S201:S210"/>
    <mergeCell ref="D207:F207"/>
    <mergeCell ref="D208:F208"/>
    <mergeCell ref="D209:F209"/>
    <mergeCell ref="D210:F210"/>
    <mergeCell ref="D6:E6"/>
    <mergeCell ref="D7:E7"/>
    <mergeCell ref="D202:F202"/>
  </mergeCells>
  <printOptions horizontalCentered="1"/>
  <pageMargins left="0.5" right="0.5" top="0.5" bottom="0.25" header="0.25" footer="0.25"/>
  <pageSetup scale="50" fitToHeight="4" orientation="landscape" r:id="rId1"/>
  <rowBreaks count="2" manualBreakCount="2">
    <brk id="56" max="16383" man="1"/>
    <brk id="92" max="16383" man="1"/>
  </rowBreak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  <pageSetUpPr fitToPage="1"/>
  </sheetPr>
  <dimension ref="B1:M72"/>
  <sheetViews>
    <sheetView zoomScaleNormal="100" zoomScaleSheetLayoutView="85" zoomScalePageLayoutView="70" workbookViewId="0">
      <selection activeCell="B79" sqref="B79"/>
    </sheetView>
  </sheetViews>
  <sheetFormatPr defaultColWidth="9.140625" defaultRowHeight="15" x14ac:dyDescent="0.25"/>
  <cols>
    <col min="1" max="1" width="2.7109375" style="85" customWidth="1"/>
    <col min="2" max="2" width="19" style="85" customWidth="1"/>
    <col min="3" max="3" width="34.7109375" style="105" bestFit="1" customWidth="1"/>
    <col min="4" max="4" width="10.28515625" style="105" bestFit="1" customWidth="1"/>
    <col min="5" max="5" width="9.28515625" style="85" customWidth="1"/>
    <col min="6" max="6" width="6.5703125" style="105" bestFit="1" customWidth="1"/>
    <col min="7" max="7" width="15" style="85" bestFit="1" customWidth="1"/>
    <col min="8" max="8" width="3.7109375" style="85" bestFit="1" customWidth="1"/>
    <col min="9" max="9" width="51.85546875" style="85" customWidth="1"/>
    <col min="10" max="10" width="7.85546875" style="193" customWidth="1"/>
    <col min="11" max="11" width="15" style="85" bestFit="1" customWidth="1"/>
    <col min="12" max="12" width="9.140625" style="85"/>
    <col min="13" max="13" width="11.85546875" style="85" bestFit="1" customWidth="1"/>
    <col min="14" max="16384" width="9.140625" style="85"/>
  </cols>
  <sheetData>
    <row r="1" spans="2:13" ht="15.75" thickBot="1" x14ac:dyDescent="0.3"/>
    <row r="2" spans="2:13" s="39" customFormat="1" ht="21" x14ac:dyDescent="0.25">
      <c r="B2" s="452" t="s">
        <v>221</v>
      </c>
      <c r="C2" s="453"/>
      <c r="D2" s="453"/>
      <c r="E2" s="453"/>
      <c r="F2" s="453"/>
      <c r="G2" s="453"/>
      <c r="H2" s="453"/>
      <c r="I2" s="453"/>
      <c r="J2" s="454"/>
      <c r="K2" s="455"/>
    </row>
    <row r="3" spans="2:13" s="14" customFormat="1" ht="15.75" thickBot="1" x14ac:dyDescent="0.3">
      <c r="B3" s="456" t="s">
        <v>0</v>
      </c>
      <c r="C3" s="457"/>
      <c r="D3" s="457"/>
      <c r="E3" s="457"/>
      <c r="F3" s="457"/>
      <c r="G3" s="457"/>
      <c r="H3" s="457"/>
      <c r="I3" s="457"/>
      <c r="J3" s="458"/>
      <c r="K3" s="459"/>
    </row>
    <row r="4" spans="2:13" ht="15.75" thickBot="1" x14ac:dyDescent="0.3"/>
    <row r="5" spans="2:13" s="103" customFormat="1" ht="15.75" x14ac:dyDescent="0.25">
      <c r="B5" s="460" t="s">
        <v>153</v>
      </c>
      <c r="C5" s="461"/>
      <c r="D5" s="461"/>
      <c r="E5" s="461"/>
      <c r="F5" s="461"/>
      <c r="G5" s="462"/>
      <c r="H5" s="82" t="s">
        <v>174</v>
      </c>
      <c r="I5" s="466" t="str">
        <f>Input!K8</f>
        <v>VARRINDER KAUR RAINA</v>
      </c>
      <c r="J5" s="467"/>
      <c r="K5" s="468"/>
    </row>
    <row r="6" spans="2:13" s="103" customFormat="1" ht="15.75" x14ac:dyDescent="0.25">
      <c r="B6" s="469" t="s">
        <v>242</v>
      </c>
      <c r="C6" s="470"/>
      <c r="D6" s="470"/>
      <c r="E6" s="470"/>
      <c r="F6" s="470"/>
      <c r="G6" s="471"/>
      <c r="H6" s="82" t="s">
        <v>174</v>
      </c>
      <c r="I6" s="475">
        <f>Input!I11</f>
        <v>43586</v>
      </c>
      <c r="J6" s="476"/>
      <c r="K6" s="477"/>
    </row>
    <row r="7" spans="2:13" ht="16.5" thickBot="1" x14ac:dyDescent="0.3">
      <c r="B7" s="472" t="s">
        <v>207</v>
      </c>
      <c r="C7" s="473"/>
      <c r="D7" s="473"/>
      <c r="E7" s="473"/>
      <c r="F7" s="473"/>
      <c r="G7" s="474"/>
      <c r="H7" s="82" t="s">
        <v>174</v>
      </c>
      <c r="I7" s="446">
        <f>Input!O11</f>
        <v>43586</v>
      </c>
      <c r="J7" s="447"/>
      <c r="K7" s="448"/>
      <c r="M7" s="114"/>
    </row>
    <row r="8" spans="2:13" ht="15.75" thickBot="1" x14ac:dyDescent="0.3">
      <c r="B8" s="449"/>
      <c r="C8" s="449"/>
      <c r="D8" s="449"/>
      <c r="E8" s="449"/>
      <c r="F8" s="449"/>
      <c r="G8" s="449"/>
      <c r="I8" s="449"/>
      <c r="J8" s="449"/>
      <c r="K8" s="449"/>
    </row>
    <row r="9" spans="2:13" s="121" customFormat="1" ht="21.75" thickBot="1" x14ac:dyDescent="0.3">
      <c r="B9" s="463" t="s">
        <v>217</v>
      </c>
      <c r="C9" s="464"/>
      <c r="D9" s="464"/>
      <c r="E9" s="464"/>
      <c r="F9" s="464"/>
      <c r="G9" s="465"/>
      <c r="I9" s="463" t="s">
        <v>220</v>
      </c>
      <c r="J9" s="464"/>
      <c r="K9" s="465"/>
    </row>
    <row r="10" spans="2:13" ht="15.75" thickBot="1" x14ac:dyDescent="0.3">
      <c r="B10" s="449"/>
      <c r="C10" s="449"/>
      <c r="D10" s="449"/>
      <c r="E10" s="449"/>
      <c r="F10" s="449"/>
      <c r="G10" s="449"/>
      <c r="I10" s="445"/>
      <c r="J10" s="445"/>
      <c r="K10" s="445"/>
    </row>
    <row r="11" spans="2:13" ht="15.75" x14ac:dyDescent="0.25">
      <c r="B11" s="417" t="s">
        <v>226</v>
      </c>
      <c r="C11" s="204" t="s">
        <v>157</v>
      </c>
      <c r="D11" s="205" t="s">
        <v>149</v>
      </c>
      <c r="E11" s="205" t="s">
        <v>150</v>
      </c>
      <c r="F11" s="197" t="s">
        <v>95</v>
      </c>
      <c r="G11" s="206" t="s">
        <v>179</v>
      </c>
      <c r="I11" s="203" t="s">
        <v>252</v>
      </c>
      <c r="J11" s="197" t="s">
        <v>95</v>
      </c>
      <c r="K11" s="207" t="s">
        <v>253</v>
      </c>
    </row>
    <row r="12" spans="2:13" ht="15.75" x14ac:dyDescent="0.25">
      <c r="B12" s="418"/>
      <c r="C12" s="416" t="s">
        <v>243</v>
      </c>
      <c r="D12" s="416"/>
      <c r="E12" s="416"/>
      <c r="F12" s="198">
        <v>1</v>
      </c>
      <c r="G12" s="152">
        <f>IF('Pension Cal'!Q32=0,'Pension Cal'!M46,0)</f>
        <v>3531</v>
      </c>
      <c r="I12" s="119" t="s">
        <v>225</v>
      </c>
      <c r="J12" s="201" t="s">
        <v>254</v>
      </c>
      <c r="K12" s="196">
        <f>IF('Pension Cal'!Q32&lt;=0,G13/G12,0)</f>
        <v>6.8408382894364204</v>
      </c>
      <c r="M12" s="118"/>
    </row>
    <row r="13" spans="2:13" ht="45" x14ac:dyDescent="0.25">
      <c r="B13" s="418"/>
      <c r="C13" s="416" t="s">
        <v>205</v>
      </c>
      <c r="D13" s="416"/>
      <c r="E13" s="416"/>
      <c r="F13" s="198">
        <v>2</v>
      </c>
      <c r="G13" s="152">
        <f>IF('Pension Cal'!Q32=0,'Pension Cal'!R46,0)</f>
        <v>24155</v>
      </c>
      <c r="I13" s="119" t="s">
        <v>273</v>
      </c>
      <c r="J13" s="201" t="s">
        <v>272</v>
      </c>
      <c r="K13" s="120">
        <f>IF('Pension Cal'!Q32&lt;=0,('Amount Cal'!T11-'Amount Cal'!I11)/30,0)</f>
        <v>-1.0333333333333334</v>
      </c>
      <c r="M13" s="17"/>
    </row>
    <row r="14" spans="2:13" ht="15.75" x14ac:dyDescent="0.25">
      <c r="B14" s="418"/>
      <c r="C14" s="416" t="s">
        <v>218</v>
      </c>
      <c r="D14" s="416"/>
      <c r="E14" s="416"/>
      <c r="F14" s="199" t="s">
        <v>250</v>
      </c>
      <c r="G14" s="152">
        <f>G13-G12</f>
        <v>20624</v>
      </c>
      <c r="I14" s="438"/>
      <c r="J14" s="414"/>
      <c r="K14" s="439"/>
    </row>
    <row r="15" spans="2:13" x14ac:dyDescent="0.25">
      <c r="B15" s="418"/>
      <c r="C15" s="442"/>
      <c r="D15" s="443"/>
      <c r="E15" s="443"/>
      <c r="F15" s="443"/>
      <c r="G15" s="444"/>
      <c r="I15" s="440"/>
      <c r="J15" s="415"/>
      <c r="K15" s="441"/>
      <c r="L15" s="104"/>
    </row>
    <row r="16" spans="2:13" ht="30" x14ac:dyDescent="0.25">
      <c r="B16" s="418"/>
      <c r="C16" s="222" t="s">
        <v>235</v>
      </c>
      <c r="D16" s="116">
        <f>IF(G12=0,0,'Pension Cal'!F9)</f>
        <v>35019</v>
      </c>
      <c r="E16" s="173">
        <f>IF(G12=0,0,'Amount Cal'!G11)</f>
        <v>43586</v>
      </c>
      <c r="F16" s="198">
        <v>3</v>
      </c>
      <c r="G16" s="153">
        <f>IF(G12=0,0,MAX('Amount Cal'!T20:T198))</f>
        <v>691316.26150000002</v>
      </c>
      <c r="I16" s="191" t="s">
        <v>270</v>
      </c>
      <c r="J16" s="201" t="s">
        <v>256</v>
      </c>
      <c r="K16" s="155">
        <f>IF('Pension Cal'!Q32&lt;=0,G16/G21,0)</f>
        <v>0.74902544070030408</v>
      </c>
    </row>
    <row r="17" spans="2:13" ht="30" x14ac:dyDescent="0.25">
      <c r="B17" s="418"/>
      <c r="C17" s="194" t="s">
        <v>233</v>
      </c>
      <c r="D17" s="116">
        <f>IF(G12=0,0,'Pension Cal'!F11)</f>
        <v>41883</v>
      </c>
      <c r="E17" s="173">
        <f>IF(G12=0,0,'Amount Cal'!G11)</f>
        <v>43586</v>
      </c>
      <c r="F17" s="198">
        <v>4</v>
      </c>
      <c r="G17" s="153">
        <f>IF(AND(G12=0,Input!I10&gt;'Pension Cal'!F11),0,SUM('Amount Cal'!S132,'Amount Cal'!S139,'Amount Cal'!S146,'Amount Cal'!S153,'Amount Cal'!S160,'Amount Cal'!S174,'Amount Cal'!S181,'Amount Cal'!S188,'Amount Cal'!S195))</f>
        <v>54507</v>
      </c>
      <c r="I17" s="191" t="s">
        <v>269</v>
      </c>
      <c r="J17" s="201" t="s">
        <v>257</v>
      </c>
      <c r="K17" s="155">
        <f>IF('Pension Cal'!Q32&lt;=0,G17/G21,0)</f>
        <v>5.9057094371924405E-2</v>
      </c>
    </row>
    <row r="18" spans="2:13" ht="30" x14ac:dyDescent="0.25">
      <c r="B18" s="418"/>
      <c r="C18" s="222" t="s">
        <v>248</v>
      </c>
      <c r="D18" s="116">
        <f>IF(G12=0,0,'Pension Cal'!F9)</f>
        <v>35019</v>
      </c>
      <c r="E18" s="173">
        <f>IF(G12=0,0,'Amount Cal'!G11)</f>
        <v>43586</v>
      </c>
      <c r="F18" s="198">
        <v>5</v>
      </c>
      <c r="G18" s="153">
        <f>IF(G12=0,0,VLOOKUP((MAX('Amount Cal'!T20:'Amount Cal'!T191)),('Amount Cal'!T20:'Amount Cal'!U198),2,FALSE))</f>
        <v>231638.05211270103</v>
      </c>
      <c r="I18" s="191" t="s">
        <v>268</v>
      </c>
      <c r="J18" s="201" t="s">
        <v>258</v>
      </c>
      <c r="K18" s="155">
        <f>IF('Pension Cal'!Q32&lt;=0,G18/G21,0)</f>
        <v>0.25097455929969598</v>
      </c>
    </row>
    <row r="19" spans="2:13" ht="30" x14ac:dyDescent="0.25">
      <c r="B19" s="418"/>
      <c r="C19" s="222" t="s">
        <v>249</v>
      </c>
      <c r="D19" s="116">
        <f>IF(G12=0,0,'Amount Cal'!I11)</f>
        <v>43617</v>
      </c>
      <c r="E19" s="173">
        <f>IF(G12=0,0,I7)</f>
        <v>43586</v>
      </c>
      <c r="F19" s="199" t="s">
        <v>265</v>
      </c>
      <c r="G19" s="153">
        <f>G20-G18</f>
        <v>0</v>
      </c>
      <c r="I19" s="191" t="s">
        <v>267</v>
      </c>
      <c r="J19" s="201" t="s">
        <v>275</v>
      </c>
      <c r="K19" s="155">
        <f>IF('Pension Cal'!Q32&lt;=0,G19/G21,0)</f>
        <v>0</v>
      </c>
    </row>
    <row r="20" spans="2:13" ht="45" x14ac:dyDescent="0.25">
      <c r="B20" s="418"/>
      <c r="C20" s="222" t="s">
        <v>261</v>
      </c>
      <c r="D20" s="116">
        <f>IF(G12=0,0,'Pension Cal'!F9)</f>
        <v>35019</v>
      </c>
      <c r="E20" s="173">
        <f>IF(G12=0,0,I7)</f>
        <v>43586</v>
      </c>
      <c r="F20" s="198">
        <v>6</v>
      </c>
      <c r="G20" s="153">
        <f>IF(G12=0,0,MAX('Amount Cal'!U20:'Amount Cal'!U191))</f>
        <v>231638.05211270103</v>
      </c>
      <c r="I20" s="191" t="s">
        <v>271</v>
      </c>
      <c r="J20" s="201" t="s">
        <v>262</v>
      </c>
      <c r="K20" s="155">
        <f>IF('Pension Cal'!Q32&lt;=0,G20/G21,0)</f>
        <v>0.25097455929969598</v>
      </c>
    </row>
    <row r="21" spans="2:13" ht="18" customHeight="1" x14ac:dyDescent="0.25">
      <c r="B21" s="418"/>
      <c r="C21" s="398" t="s">
        <v>266</v>
      </c>
      <c r="D21" s="399"/>
      <c r="E21" s="400"/>
      <c r="F21" s="200" t="s">
        <v>251</v>
      </c>
      <c r="G21" s="177">
        <f>SUM(G16,G20)</f>
        <v>922954.31361270102</v>
      </c>
      <c r="I21" s="389"/>
      <c r="J21" s="390"/>
      <c r="K21" s="391"/>
    </row>
    <row r="22" spans="2:13" ht="18" customHeight="1" x14ac:dyDescent="0.25">
      <c r="B22" s="418"/>
      <c r="C22" s="398" t="s">
        <v>276</v>
      </c>
      <c r="D22" s="399"/>
      <c r="E22" s="400"/>
      <c r="F22" s="200" t="s">
        <v>277</v>
      </c>
      <c r="G22" s="177">
        <f>SUM(G17,G21)</f>
        <v>977461.31361270102</v>
      </c>
      <c r="I22" s="392"/>
      <c r="J22" s="393"/>
      <c r="K22" s="394"/>
    </row>
    <row r="23" spans="2:13" ht="14.45" customHeight="1" x14ac:dyDescent="0.25">
      <c r="B23" s="418"/>
      <c r="C23" s="442"/>
      <c r="D23" s="443"/>
      <c r="E23" s="443"/>
      <c r="F23" s="443"/>
      <c r="G23" s="444"/>
      <c r="I23" s="395"/>
      <c r="J23" s="396"/>
      <c r="K23" s="397"/>
    </row>
    <row r="24" spans="2:13" ht="30" x14ac:dyDescent="0.25">
      <c r="B24" s="418"/>
      <c r="C24" s="401" t="s">
        <v>241</v>
      </c>
      <c r="D24" s="401"/>
      <c r="E24" s="401"/>
      <c r="F24" s="402">
        <v>7</v>
      </c>
      <c r="G24" s="451">
        <f>IF(G12=0,0,G14*K13)</f>
        <v>-21311.466666666667</v>
      </c>
      <c r="I24" s="119" t="s">
        <v>274</v>
      </c>
      <c r="J24" s="201" t="s">
        <v>255</v>
      </c>
      <c r="K24" s="120">
        <f>IF(G21-G24&lt;=0,0,INT(G21-G24)/G14)</f>
        <v>45.784765321955007</v>
      </c>
    </row>
    <row r="25" spans="2:13" ht="30" x14ac:dyDescent="0.25">
      <c r="B25" s="418"/>
      <c r="C25" s="401"/>
      <c r="D25" s="401"/>
      <c r="E25" s="401"/>
      <c r="F25" s="402"/>
      <c r="G25" s="451"/>
      <c r="I25" s="231" t="s">
        <v>279</v>
      </c>
      <c r="J25" s="232" t="s">
        <v>278</v>
      </c>
      <c r="K25" s="155">
        <f>IF('Pension Cal'!Q32&lt;=0,G24/G22,0)</f>
        <v>-2.1802874824681705E-2</v>
      </c>
    </row>
    <row r="26" spans="2:13" s="154" customFormat="1" ht="14.45" customHeight="1" x14ac:dyDescent="0.25">
      <c r="B26" s="418"/>
      <c r="C26" s="442"/>
      <c r="D26" s="443"/>
      <c r="E26" s="443"/>
      <c r="F26" s="443"/>
      <c r="G26" s="444"/>
      <c r="I26" s="228"/>
      <c r="J26" s="229"/>
      <c r="K26" s="230"/>
    </row>
    <row r="27" spans="2:13" s="154" customFormat="1" ht="15.75" x14ac:dyDescent="0.25">
      <c r="B27" s="418"/>
      <c r="C27" s="422" t="s">
        <v>247</v>
      </c>
      <c r="D27" s="422"/>
      <c r="E27" s="422"/>
      <c r="F27" s="424">
        <v>8</v>
      </c>
      <c r="G27" s="426">
        <f>IF(G12=0,0,IF(Input!I10&lt;'Pension Cal'!F11,'Pension Cal'!V37,'Pension Cal'!W37))</f>
        <v>86909.96666666666</v>
      </c>
      <c r="I27" s="119" t="s">
        <v>240</v>
      </c>
      <c r="J27" s="201" t="s">
        <v>259</v>
      </c>
      <c r="K27" s="178">
        <f>IF(G12=0,0,G13/G27)</f>
        <v>0.27793129978571696</v>
      </c>
    </row>
    <row r="28" spans="2:13" s="154" customFormat="1" ht="30" x14ac:dyDescent="0.25">
      <c r="B28" s="418"/>
      <c r="C28" s="422"/>
      <c r="D28" s="422"/>
      <c r="E28" s="422"/>
      <c r="F28" s="424"/>
      <c r="G28" s="427"/>
      <c r="I28" s="119" t="s">
        <v>239</v>
      </c>
      <c r="J28" s="201" t="s">
        <v>260</v>
      </c>
      <c r="K28" s="179">
        <f>IF(G12=0,0,G21/G27)</f>
        <v>10.619660195620462</v>
      </c>
    </row>
    <row r="29" spans="2:13" s="154" customFormat="1" ht="30.75" thickBot="1" x14ac:dyDescent="0.3">
      <c r="B29" s="419"/>
      <c r="C29" s="423"/>
      <c r="D29" s="423"/>
      <c r="E29" s="423"/>
      <c r="F29" s="425"/>
      <c r="G29" s="450"/>
      <c r="I29" s="158" t="s">
        <v>232</v>
      </c>
      <c r="J29" s="202" t="s">
        <v>246</v>
      </c>
      <c r="K29" s="180">
        <f>IF(G12=0,0,G24/G27)</f>
        <v>-0.24521314970013031</v>
      </c>
    </row>
    <row r="30" spans="2:13" ht="17.25" thickBot="1" x14ac:dyDescent="0.3">
      <c r="B30" s="176"/>
      <c r="C30" s="176"/>
      <c r="D30" s="176"/>
      <c r="E30" s="176"/>
      <c r="F30" s="192"/>
      <c r="G30" s="176"/>
    </row>
    <row r="31" spans="2:13" ht="15.75" x14ac:dyDescent="0.25">
      <c r="B31" s="417" t="s">
        <v>227</v>
      </c>
      <c r="C31" s="204" t="s">
        <v>157</v>
      </c>
      <c r="D31" s="205" t="s">
        <v>149</v>
      </c>
      <c r="E31" s="205" t="s">
        <v>150</v>
      </c>
      <c r="F31" s="197" t="s">
        <v>95</v>
      </c>
      <c r="G31" s="206" t="s">
        <v>179</v>
      </c>
      <c r="I31" s="203" t="s">
        <v>252</v>
      </c>
      <c r="J31" s="197" t="s">
        <v>95</v>
      </c>
      <c r="K31" s="207" t="s">
        <v>253</v>
      </c>
      <c r="M31" s="174"/>
    </row>
    <row r="32" spans="2:13" ht="15.75" x14ac:dyDescent="0.25">
      <c r="B32" s="418"/>
      <c r="C32" s="416" t="s">
        <v>243</v>
      </c>
      <c r="D32" s="416"/>
      <c r="E32" s="416"/>
      <c r="F32" s="198">
        <v>1</v>
      </c>
      <c r="G32" s="152">
        <f>IF('Pension Cal'!I13&lt;'Pension Cal'!I12,'Pension Cal'!M51,0)</f>
        <v>0</v>
      </c>
      <c r="I32" s="119" t="s">
        <v>225</v>
      </c>
      <c r="J32" s="201" t="s">
        <v>254</v>
      </c>
      <c r="K32" s="196">
        <f>IF(G32=0,0,G33/G32)</f>
        <v>0</v>
      </c>
      <c r="M32" s="117"/>
    </row>
    <row r="33" spans="2:12" ht="45" x14ac:dyDescent="0.25">
      <c r="B33" s="418"/>
      <c r="C33" s="416" t="s">
        <v>205</v>
      </c>
      <c r="D33" s="416"/>
      <c r="E33" s="416"/>
      <c r="F33" s="198">
        <v>2</v>
      </c>
      <c r="G33" s="152">
        <f>IF('Pension Cal'!I13&lt;'Pension Cal'!I12,'Pension Cal'!R51,0)</f>
        <v>0</v>
      </c>
      <c r="I33" s="119" t="s">
        <v>273</v>
      </c>
      <c r="J33" s="201" t="s">
        <v>272</v>
      </c>
      <c r="K33" s="153">
        <f>IF(G32=0,0,('Amount Cal'!T11-'Amount Cal'!I11)/30)</f>
        <v>0</v>
      </c>
    </row>
    <row r="34" spans="2:12" ht="15.75" x14ac:dyDescent="0.25">
      <c r="B34" s="418"/>
      <c r="C34" s="416" t="s">
        <v>218</v>
      </c>
      <c r="D34" s="416"/>
      <c r="E34" s="416"/>
      <c r="F34" s="199" t="s">
        <v>250</v>
      </c>
      <c r="G34" s="152">
        <f>G33-G32</f>
        <v>0</v>
      </c>
      <c r="I34" s="414"/>
      <c r="J34" s="414"/>
      <c r="K34" s="414"/>
      <c r="L34" s="104"/>
    </row>
    <row r="35" spans="2:12" ht="15.75" x14ac:dyDescent="0.25">
      <c r="B35" s="418"/>
      <c r="C35" s="420"/>
      <c r="D35" s="420"/>
      <c r="E35" s="420"/>
      <c r="F35" s="420"/>
      <c r="G35" s="421"/>
      <c r="I35" s="415"/>
      <c r="J35" s="415"/>
      <c r="K35" s="415"/>
    </row>
    <row r="36" spans="2:12" ht="30" x14ac:dyDescent="0.25">
      <c r="B36" s="418"/>
      <c r="C36" s="195" t="s">
        <v>235</v>
      </c>
      <c r="D36" s="116">
        <f>IF(G32=0,0,'Pension Cal'!F9)</f>
        <v>0</v>
      </c>
      <c r="E36" s="173">
        <f>IF(G32=0,0,'Amount Cal'!M11)</f>
        <v>0</v>
      </c>
      <c r="F36" s="198">
        <v>3</v>
      </c>
      <c r="G36" s="153">
        <f>IF(G32=0,0,MAX('Amount Cal'!T20:T198))</f>
        <v>0</v>
      </c>
      <c r="I36" s="191" t="s">
        <v>238</v>
      </c>
      <c r="J36" s="201" t="s">
        <v>256</v>
      </c>
      <c r="K36" s="155">
        <f>IF(G32=0,0,G36/G41)</f>
        <v>0</v>
      </c>
    </row>
    <row r="37" spans="2:12" ht="30" x14ac:dyDescent="0.25">
      <c r="B37" s="418"/>
      <c r="C37" s="194" t="s">
        <v>233</v>
      </c>
      <c r="D37" s="116">
        <f>IF(G32=0,0,'Pension Cal'!F11)</f>
        <v>0</v>
      </c>
      <c r="E37" s="173">
        <f>IF(G32=0,0,'Amount Cal'!T11)</f>
        <v>0</v>
      </c>
      <c r="F37" s="198">
        <v>4</v>
      </c>
      <c r="G37" s="153">
        <f>IF(AND(G32=0,Input!I10&gt;'Pension Cal'!F11),0,SUM('Amount Cal'!S132,'Amount Cal'!S139,'Amount Cal'!S146,'Amount Cal'!S153,'Amount Cal'!S160,'Amount Cal'!S174,'Amount Cal'!S181,'Amount Cal'!S188,'Amount Cal'!S195))</f>
        <v>0</v>
      </c>
      <c r="I37" s="191" t="s">
        <v>236</v>
      </c>
      <c r="J37" s="201" t="s">
        <v>257</v>
      </c>
      <c r="K37" s="155">
        <f>IF(G32=0,0,G37/G41)</f>
        <v>0</v>
      </c>
    </row>
    <row r="38" spans="2:12" ht="30" x14ac:dyDescent="0.25">
      <c r="B38" s="418"/>
      <c r="C38" s="195" t="s">
        <v>248</v>
      </c>
      <c r="D38" s="116">
        <f>IF(G32=0,0,'Pension Cal'!F9)</f>
        <v>0</v>
      </c>
      <c r="E38" s="173">
        <f>IF(G32=0,0,'Amount Cal'!M11)</f>
        <v>0</v>
      </c>
      <c r="F38" s="198">
        <v>5</v>
      </c>
      <c r="G38" s="153">
        <f>IF(G32=0,0,VLOOKUP((MAX('Amount Cal'!T20:'Amount Cal'!T198)),('Amount Cal'!T20:'Amount Cal'!U198),2,FALSE))</f>
        <v>0</v>
      </c>
      <c r="I38" s="191" t="s">
        <v>237</v>
      </c>
      <c r="J38" s="201" t="s">
        <v>258</v>
      </c>
      <c r="K38" s="155">
        <f>IF(G32=0,0,G38/G41)</f>
        <v>0</v>
      </c>
    </row>
    <row r="39" spans="2:12" ht="30" x14ac:dyDescent="0.25">
      <c r="B39" s="418"/>
      <c r="C39" s="195" t="s">
        <v>249</v>
      </c>
      <c r="D39" s="116">
        <f>IF(G32=0,0,'Amount Cal'!O11)</f>
        <v>0</v>
      </c>
      <c r="E39" s="173">
        <f>IF(G32=0,0,I29)</f>
        <v>0</v>
      </c>
      <c r="F39" s="199" t="s">
        <v>265</v>
      </c>
      <c r="G39" s="153">
        <f>G40-G38</f>
        <v>0</v>
      </c>
      <c r="I39" s="191" t="s">
        <v>238</v>
      </c>
      <c r="J39" s="201" t="s">
        <v>275</v>
      </c>
      <c r="K39" s="155">
        <f>IF(G32=0,0,G39/G41)</f>
        <v>0</v>
      </c>
    </row>
    <row r="40" spans="2:12" ht="30" x14ac:dyDescent="0.25">
      <c r="B40" s="418"/>
      <c r="C40" s="195" t="s">
        <v>261</v>
      </c>
      <c r="D40" s="116">
        <f>IF(G32=0,0,'Pension Cal'!F9)</f>
        <v>0</v>
      </c>
      <c r="E40" s="173">
        <f>IF(G32=0,0,I29)</f>
        <v>0</v>
      </c>
      <c r="F40" s="198">
        <v>6</v>
      </c>
      <c r="G40" s="153">
        <f>IF(G32=0,0,MAX('Amount Cal'!U20:'Amount Cal'!U198))</f>
        <v>0</v>
      </c>
      <c r="I40" s="191" t="s">
        <v>263</v>
      </c>
      <c r="J40" s="201" t="s">
        <v>262</v>
      </c>
      <c r="K40" s="155">
        <f>IF(G32=0,0,G40/G41)</f>
        <v>0</v>
      </c>
    </row>
    <row r="41" spans="2:12" ht="18.75" x14ac:dyDescent="0.25">
      <c r="B41" s="418"/>
      <c r="C41" s="416" t="s">
        <v>234</v>
      </c>
      <c r="D41" s="416"/>
      <c r="E41" s="416"/>
      <c r="F41" s="200" t="s">
        <v>251</v>
      </c>
      <c r="G41" s="177">
        <f>SUM(G36,G40)</f>
        <v>0</v>
      </c>
      <c r="I41" s="405"/>
      <c r="J41" s="406"/>
      <c r="K41" s="407"/>
    </row>
    <row r="42" spans="2:12" ht="31.5" x14ac:dyDescent="0.25">
      <c r="B42" s="418"/>
      <c r="C42" s="398" t="s">
        <v>276</v>
      </c>
      <c r="D42" s="399"/>
      <c r="E42" s="400"/>
      <c r="F42" s="200" t="s">
        <v>277</v>
      </c>
      <c r="G42" s="177">
        <f>SUM(G37,G41)</f>
        <v>0</v>
      </c>
      <c r="I42" s="408"/>
      <c r="J42" s="409"/>
      <c r="K42" s="410"/>
    </row>
    <row r="43" spans="2:12" ht="15.75" x14ac:dyDescent="0.25">
      <c r="B43" s="418"/>
      <c r="C43" s="420"/>
      <c r="D43" s="420"/>
      <c r="E43" s="420"/>
      <c r="F43" s="420"/>
      <c r="G43" s="421"/>
      <c r="I43" s="411"/>
      <c r="J43" s="412"/>
      <c r="K43" s="413"/>
    </row>
    <row r="44" spans="2:12" s="154" customFormat="1" ht="30" x14ac:dyDescent="0.25">
      <c r="B44" s="418"/>
      <c r="C44" s="401" t="s">
        <v>241</v>
      </c>
      <c r="D44" s="401"/>
      <c r="E44" s="401"/>
      <c r="F44" s="402">
        <v>7</v>
      </c>
      <c r="G44" s="403">
        <f>IF(G32=0,0,G34*K33)</f>
        <v>0</v>
      </c>
      <c r="I44" s="119" t="s">
        <v>274</v>
      </c>
      <c r="J44" s="201" t="s">
        <v>255</v>
      </c>
      <c r="K44" s="120">
        <f>IF(G41-G44&lt;=0,0,INT(G41-G44)/G34)</f>
        <v>0</v>
      </c>
    </row>
    <row r="45" spans="2:12" s="154" customFormat="1" ht="30" x14ac:dyDescent="0.25">
      <c r="B45" s="418"/>
      <c r="C45" s="401"/>
      <c r="D45" s="401"/>
      <c r="E45" s="401"/>
      <c r="F45" s="402"/>
      <c r="G45" s="404"/>
      <c r="I45" s="231" t="s">
        <v>279</v>
      </c>
      <c r="J45" s="232" t="s">
        <v>278</v>
      </c>
      <c r="K45" s="155">
        <f>IF(G32=0,0,G44/G42)</f>
        <v>0</v>
      </c>
    </row>
    <row r="46" spans="2:12" s="154" customFormat="1" ht="15.75" x14ac:dyDescent="0.25">
      <c r="B46" s="418"/>
      <c r="C46" s="420"/>
      <c r="D46" s="420"/>
      <c r="E46" s="420"/>
      <c r="F46" s="420"/>
      <c r="G46" s="421"/>
      <c r="I46" s="233"/>
      <c r="J46" s="234"/>
      <c r="K46" s="235"/>
    </row>
    <row r="47" spans="2:12" s="154" customFormat="1" ht="15.75" x14ac:dyDescent="0.25">
      <c r="B47" s="418"/>
      <c r="C47" s="422" t="s">
        <v>247</v>
      </c>
      <c r="D47" s="422"/>
      <c r="E47" s="422"/>
      <c r="F47" s="424">
        <v>8</v>
      </c>
      <c r="G47" s="426">
        <f>IF(G32=0,0,IF(Input!I10&lt;'Pension Cal'!F11,'Pension Cal'!V37,'Pension Cal'!W37))</f>
        <v>0</v>
      </c>
      <c r="I47" s="119" t="s">
        <v>240</v>
      </c>
      <c r="J47" s="201" t="s">
        <v>259</v>
      </c>
      <c r="K47" s="178">
        <f>IF(G32=0,0,G33/G47)</f>
        <v>0</v>
      </c>
    </row>
    <row r="48" spans="2:12" s="154" customFormat="1" ht="30" x14ac:dyDescent="0.25">
      <c r="B48" s="418"/>
      <c r="C48" s="422"/>
      <c r="D48" s="422"/>
      <c r="E48" s="422"/>
      <c r="F48" s="424"/>
      <c r="G48" s="427"/>
      <c r="I48" s="119" t="s">
        <v>239</v>
      </c>
      <c r="J48" s="201" t="s">
        <v>260</v>
      </c>
      <c r="K48" s="179">
        <f>IF(G32=0,0,G41/G47)</f>
        <v>0</v>
      </c>
    </row>
    <row r="49" spans="2:13" s="154" customFormat="1" ht="30.75" thickBot="1" x14ac:dyDescent="0.3">
      <c r="B49" s="419"/>
      <c r="C49" s="423"/>
      <c r="D49" s="423"/>
      <c r="E49" s="423"/>
      <c r="F49" s="425"/>
      <c r="G49" s="428"/>
      <c r="I49" s="158" t="s">
        <v>232</v>
      </c>
      <c r="J49" s="202" t="s">
        <v>246</v>
      </c>
      <c r="K49" s="180">
        <f>IF(G32=0,0,G44/G47)</f>
        <v>0</v>
      </c>
    </row>
    <row r="50" spans="2:13" ht="15.75" thickBot="1" x14ac:dyDescent="0.3">
      <c r="I50" s="214"/>
      <c r="J50" s="214"/>
      <c r="K50" s="214"/>
    </row>
    <row r="51" spans="2:13" ht="15.75" x14ac:dyDescent="0.25">
      <c r="B51" s="417" t="s">
        <v>228</v>
      </c>
      <c r="C51" s="429" t="s">
        <v>157</v>
      </c>
      <c r="D51" s="429"/>
      <c r="E51" s="429"/>
      <c r="F51" s="197" t="s">
        <v>95</v>
      </c>
      <c r="G51" s="151" t="s">
        <v>179</v>
      </c>
      <c r="I51" s="203" t="s">
        <v>252</v>
      </c>
      <c r="J51" s="197" t="s">
        <v>95</v>
      </c>
      <c r="K51" s="207" t="s">
        <v>253</v>
      </c>
      <c r="M51" s="118"/>
    </row>
    <row r="52" spans="2:13" ht="15.75" x14ac:dyDescent="0.25">
      <c r="B52" s="418"/>
      <c r="C52" s="416" t="s">
        <v>243</v>
      </c>
      <c r="D52" s="416"/>
      <c r="E52" s="416"/>
      <c r="F52" s="198">
        <v>1</v>
      </c>
      <c r="G52" s="152">
        <f>IF('Pension Cal'!I13&lt;'Pension Cal'!I12,0,'Pension Cal'!M52)</f>
        <v>0</v>
      </c>
      <c r="I52" s="119" t="s">
        <v>225</v>
      </c>
      <c r="J52" s="201" t="s">
        <v>254</v>
      </c>
      <c r="K52" s="196">
        <f>IF(G52=0,0,G53/G52)</f>
        <v>0</v>
      </c>
      <c r="M52" s="117"/>
    </row>
    <row r="53" spans="2:13" ht="45" x14ac:dyDescent="0.25">
      <c r="B53" s="418"/>
      <c r="C53" s="416" t="s">
        <v>205</v>
      </c>
      <c r="D53" s="416"/>
      <c r="E53" s="416"/>
      <c r="F53" s="198">
        <v>2</v>
      </c>
      <c r="G53" s="152">
        <f>IF('Pension Cal'!I13&lt;'Pension Cal'!I12,0,'Pension Cal'!R52)</f>
        <v>0</v>
      </c>
      <c r="I53" s="119" t="s">
        <v>273</v>
      </c>
      <c r="J53" s="201" t="s">
        <v>272</v>
      </c>
      <c r="K53" s="120">
        <f>IF(G52=0,0,('Amount Cal'!T11-'Amount Cal'!I11)/30)</f>
        <v>0</v>
      </c>
    </row>
    <row r="54" spans="2:13" ht="15.75" x14ac:dyDescent="0.25">
      <c r="B54" s="418"/>
      <c r="C54" s="416" t="s">
        <v>218</v>
      </c>
      <c r="D54" s="416"/>
      <c r="E54" s="416"/>
      <c r="F54" s="199" t="s">
        <v>250</v>
      </c>
      <c r="G54" s="152">
        <f>G53-G52</f>
        <v>0</v>
      </c>
      <c r="I54" s="438"/>
      <c r="J54" s="414"/>
      <c r="K54" s="439"/>
      <c r="L54" s="104"/>
    </row>
    <row r="55" spans="2:13" ht="15.75" x14ac:dyDescent="0.25">
      <c r="B55" s="418"/>
      <c r="C55" s="420"/>
      <c r="D55" s="420"/>
      <c r="E55" s="420"/>
      <c r="F55" s="420"/>
      <c r="G55" s="421"/>
      <c r="I55" s="440"/>
      <c r="J55" s="415"/>
      <c r="K55" s="441"/>
    </row>
    <row r="56" spans="2:13" ht="30" x14ac:dyDescent="0.25">
      <c r="B56" s="418"/>
      <c r="C56" s="195" t="s">
        <v>235</v>
      </c>
      <c r="D56" s="116">
        <f>IF(G52=0,0,'Pension Cal'!F9)</f>
        <v>0</v>
      </c>
      <c r="E56" s="173">
        <f>IF(G52=0,0,'Amount Cal'!M11)</f>
        <v>0</v>
      </c>
      <c r="F56" s="198">
        <v>3</v>
      </c>
      <c r="G56" s="153">
        <f>IF(G52=0,0,MAX('Amount Cal'!T20:T198))</f>
        <v>0</v>
      </c>
      <c r="I56" s="191" t="s">
        <v>238</v>
      </c>
      <c r="J56" s="201" t="s">
        <v>256</v>
      </c>
      <c r="K56" s="155">
        <f>IF(G52=0,0,G56/G61)</f>
        <v>0</v>
      </c>
    </row>
    <row r="57" spans="2:13" ht="30" x14ac:dyDescent="0.25">
      <c r="B57" s="418"/>
      <c r="C57" s="194" t="s">
        <v>233</v>
      </c>
      <c r="D57" s="116">
        <f>IF(G52=0,0,'Pension Cal'!F11)</f>
        <v>0</v>
      </c>
      <c r="E57" s="173">
        <f>IF(G52=0,0,'Amount Cal'!T11)</f>
        <v>0</v>
      </c>
      <c r="F57" s="198">
        <v>4</v>
      </c>
      <c r="G57" s="153">
        <f>IF(AND(G52=0,Input!I10&gt;'Pension Cal'!F11),0,SUM('Amount Cal'!S132,'Amount Cal'!S139,'Amount Cal'!S146,'Amount Cal'!S153,'Amount Cal'!S160,'Amount Cal'!S174,'Amount Cal'!S181,'Amount Cal'!S188,'Amount Cal'!S195))</f>
        <v>0</v>
      </c>
      <c r="I57" s="191" t="s">
        <v>236</v>
      </c>
      <c r="J57" s="201" t="s">
        <v>257</v>
      </c>
      <c r="K57" s="155">
        <f>IF(G52=0,0,G57/G61)</f>
        <v>0</v>
      </c>
    </row>
    <row r="58" spans="2:13" ht="30" x14ac:dyDescent="0.25">
      <c r="B58" s="418"/>
      <c r="C58" s="195" t="s">
        <v>248</v>
      </c>
      <c r="D58" s="116">
        <f>IF(G52=0,0,'Pension Cal'!F9)</f>
        <v>0</v>
      </c>
      <c r="E58" s="173">
        <f>IF(G52=0,0,'Amount Cal'!M11)</f>
        <v>0</v>
      </c>
      <c r="F58" s="198">
        <v>5</v>
      </c>
      <c r="G58" s="153">
        <f>IF(G52=0,0,VLOOKUP((MAX('Amount Cal'!T20:'Amount Cal'!T198)),('Amount Cal'!T20:'Amount Cal'!U198),2,FALSE))</f>
        <v>0</v>
      </c>
      <c r="I58" s="191" t="s">
        <v>237</v>
      </c>
      <c r="J58" s="201" t="s">
        <v>258</v>
      </c>
      <c r="K58" s="155">
        <f>IF(G52=0,0,G58/G61)</f>
        <v>0</v>
      </c>
    </row>
    <row r="59" spans="2:13" ht="30" x14ac:dyDescent="0.25">
      <c r="B59" s="418"/>
      <c r="C59" s="195" t="s">
        <v>249</v>
      </c>
      <c r="D59" s="116">
        <f>IF(G52=0,0,'Amount Cal'!O11)</f>
        <v>0</v>
      </c>
      <c r="E59" s="173">
        <f>IF(G52=0,0,'Amount Cal'!T11)</f>
        <v>0</v>
      </c>
      <c r="F59" s="199" t="s">
        <v>265</v>
      </c>
      <c r="G59" s="153">
        <f>G60-G58</f>
        <v>0</v>
      </c>
      <c r="I59" s="191" t="s">
        <v>238</v>
      </c>
      <c r="J59" s="201" t="s">
        <v>275</v>
      </c>
      <c r="K59" s="155">
        <f>IF(G52=0,0,G59/G61)</f>
        <v>0</v>
      </c>
    </row>
    <row r="60" spans="2:13" ht="30" x14ac:dyDescent="0.25">
      <c r="B60" s="418"/>
      <c r="C60" s="195" t="s">
        <v>261</v>
      </c>
      <c r="D60" s="116">
        <f>IF(G52=0,0,'Pension Cal'!F9)</f>
        <v>0</v>
      </c>
      <c r="E60" s="173">
        <f>IF(G52=0,0,'Amount Cal'!T11)</f>
        <v>0</v>
      </c>
      <c r="F60" s="198">
        <v>6</v>
      </c>
      <c r="G60" s="153">
        <f>IF(G52=0,0,MAX('Amount Cal'!U20:'Amount Cal'!U198))</f>
        <v>0</v>
      </c>
      <c r="I60" s="191" t="s">
        <v>263</v>
      </c>
      <c r="J60" s="201" t="s">
        <v>262</v>
      </c>
      <c r="K60" s="155">
        <f>IF(G52=0,0,G60/G61)</f>
        <v>0</v>
      </c>
    </row>
    <row r="61" spans="2:13" ht="18.75" x14ac:dyDescent="0.25">
      <c r="B61" s="418"/>
      <c r="C61" s="416" t="s">
        <v>234</v>
      </c>
      <c r="D61" s="416"/>
      <c r="E61" s="416"/>
      <c r="F61" s="200" t="s">
        <v>251</v>
      </c>
      <c r="G61" s="177">
        <f>SUM(G56,G60)</f>
        <v>0</v>
      </c>
      <c r="I61" s="405"/>
      <c r="J61" s="406"/>
      <c r="K61" s="407"/>
    </row>
    <row r="62" spans="2:13" ht="31.5" x14ac:dyDescent="0.25">
      <c r="B62" s="418"/>
      <c r="C62" s="398" t="s">
        <v>276</v>
      </c>
      <c r="D62" s="399"/>
      <c r="E62" s="400"/>
      <c r="F62" s="200" t="s">
        <v>277</v>
      </c>
      <c r="G62" s="177">
        <f>SUM(G57,G61)</f>
        <v>0</v>
      </c>
      <c r="I62" s="408"/>
      <c r="J62" s="409"/>
      <c r="K62" s="410"/>
    </row>
    <row r="63" spans="2:13" ht="15.75" x14ac:dyDescent="0.25">
      <c r="B63" s="418"/>
      <c r="C63" s="420"/>
      <c r="D63" s="420"/>
      <c r="E63" s="420"/>
      <c r="F63" s="420"/>
      <c r="G63" s="421"/>
      <c r="I63" s="411"/>
      <c r="J63" s="412"/>
      <c r="K63" s="413"/>
    </row>
    <row r="64" spans="2:13" s="154" customFormat="1" ht="30" x14ac:dyDescent="0.25">
      <c r="B64" s="418"/>
      <c r="C64" s="401" t="s">
        <v>241</v>
      </c>
      <c r="D64" s="401"/>
      <c r="E64" s="401"/>
      <c r="F64" s="402">
        <v>7</v>
      </c>
      <c r="G64" s="403">
        <f>IF(G52=0,0,G54*K53)</f>
        <v>0</v>
      </c>
      <c r="I64" s="119" t="s">
        <v>274</v>
      </c>
      <c r="J64" s="201" t="s">
        <v>255</v>
      </c>
      <c r="K64" s="120">
        <f>IF(G61-G64&lt;=0,0,INT(G61-G64)/G54)</f>
        <v>0</v>
      </c>
    </row>
    <row r="65" spans="2:11" s="154" customFormat="1" ht="30" x14ac:dyDescent="0.25">
      <c r="B65" s="418"/>
      <c r="C65" s="401"/>
      <c r="D65" s="401"/>
      <c r="E65" s="401"/>
      <c r="F65" s="402"/>
      <c r="G65" s="404"/>
      <c r="I65" s="231" t="s">
        <v>279</v>
      </c>
      <c r="J65" s="232" t="s">
        <v>278</v>
      </c>
      <c r="K65" s="236">
        <f>IF(G52=0,0,G64/G62)</f>
        <v>0</v>
      </c>
    </row>
    <row r="66" spans="2:11" s="154" customFormat="1" ht="15.75" x14ac:dyDescent="0.25">
      <c r="B66" s="418"/>
      <c r="C66" s="420"/>
      <c r="D66" s="420"/>
      <c r="E66" s="420"/>
      <c r="F66" s="420"/>
      <c r="G66" s="421"/>
      <c r="I66" s="233"/>
      <c r="J66" s="234"/>
      <c r="K66" s="235"/>
    </row>
    <row r="67" spans="2:11" s="154" customFormat="1" ht="15.75" x14ac:dyDescent="0.25">
      <c r="B67" s="418"/>
      <c r="C67" s="422" t="s">
        <v>247</v>
      </c>
      <c r="D67" s="422"/>
      <c r="E67" s="422"/>
      <c r="F67" s="424">
        <v>8</v>
      </c>
      <c r="G67" s="426">
        <f>IF(G52=0,0,IF(Input!I10&lt;'Pension Cal'!F11,'Pension Cal'!V37,'Pension Cal'!W37))</f>
        <v>0</v>
      </c>
      <c r="I67" s="119" t="s">
        <v>240</v>
      </c>
      <c r="J67" s="201" t="s">
        <v>259</v>
      </c>
      <c r="K67" s="178">
        <f>IF(G52=0,0,G53/G67)</f>
        <v>0</v>
      </c>
    </row>
    <row r="68" spans="2:11" s="154" customFormat="1" ht="30" x14ac:dyDescent="0.25">
      <c r="B68" s="418"/>
      <c r="C68" s="422"/>
      <c r="D68" s="422"/>
      <c r="E68" s="422"/>
      <c r="F68" s="424"/>
      <c r="G68" s="427"/>
      <c r="I68" s="119" t="s">
        <v>239</v>
      </c>
      <c r="J68" s="201" t="s">
        <v>260</v>
      </c>
      <c r="K68" s="179">
        <f>IF(G52=0,0,G61/G67)</f>
        <v>0</v>
      </c>
    </row>
    <row r="69" spans="2:11" s="154" customFormat="1" ht="30.75" thickBot="1" x14ac:dyDescent="0.3">
      <c r="B69" s="419"/>
      <c r="C69" s="423"/>
      <c r="D69" s="423"/>
      <c r="E69" s="423"/>
      <c r="F69" s="425"/>
      <c r="G69" s="428"/>
      <c r="I69" s="158" t="s">
        <v>232</v>
      </c>
      <c r="J69" s="202" t="s">
        <v>246</v>
      </c>
      <c r="K69" s="180">
        <f>IF(G52=0,0,G64/G67)</f>
        <v>0</v>
      </c>
    </row>
    <row r="70" spans="2:11" s="154" customFormat="1" ht="19.5" thickBot="1" x14ac:dyDescent="0.3">
      <c r="B70" s="213"/>
      <c r="C70" s="208"/>
      <c r="D70" s="208"/>
      <c r="E70" s="208"/>
      <c r="F70" s="209"/>
      <c r="G70" s="210"/>
      <c r="I70" s="117"/>
      <c r="J70" s="211"/>
      <c r="K70" s="212"/>
    </row>
    <row r="71" spans="2:11" ht="18.75" x14ac:dyDescent="0.3">
      <c r="B71" s="430" t="s">
        <v>244</v>
      </c>
      <c r="C71" s="431"/>
      <c r="D71" s="431"/>
      <c r="E71" s="431"/>
      <c r="F71" s="431"/>
      <c r="G71" s="431"/>
      <c r="H71" s="431"/>
      <c r="I71" s="431"/>
      <c r="J71" s="432"/>
      <c r="K71" s="433"/>
    </row>
    <row r="72" spans="2:11" ht="19.5" thickBot="1" x14ac:dyDescent="0.35">
      <c r="B72" s="434" t="s">
        <v>224</v>
      </c>
      <c r="C72" s="435"/>
      <c r="D72" s="435"/>
      <c r="E72" s="435"/>
      <c r="F72" s="435"/>
      <c r="G72" s="435"/>
      <c r="H72" s="435"/>
      <c r="I72" s="435"/>
      <c r="J72" s="436"/>
      <c r="K72" s="437"/>
    </row>
  </sheetData>
  <sheetProtection algorithmName="SHA-512" hashValue="33JtCAgZYulnSfTOInKu8oN9piLzFhO2KkH3o8bAbRADQGjqztvv4vZ3xGqZaEv1wLGA1LgEdNjdvk0BmuQP9w==" saltValue="125EECr4pHB2nnJRGSRkgA==" spinCount="100000" sheet="1" objects="1" scenarios="1"/>
  <mergeCells count="68">
    <mergeCell ref="F47:F49"/>
    <mergeCell ref="G47:G49"/>
    <mergeCell ref="F24:F25"/>
    <mergeCell ref="G24:G25"/>
    <mergeCell ref="B2:K2"/>
    <mergeCell ref="B3:K3"/>
    <mergeCell ref="B5:G5"/>
    <mergeCell ref="C12:E12"/>
    <mergeCell ref="C21:E21"/>
    <mergeCell ref="B9:G9"/>
    <mergeCell ref="I5:K5"/>
    <mergeCell ref="B6:G6"/>
    <mergeCell ref="B7:G7"/>
    <mergeCell ref="I9:K9"/>
    <mergeCell ref="I6:K6"/>
    <mergeCell ref="I8:K8"/>
    <mergeCell ref="C15:G15"/>
    <mergeCell ref="I10:K10"/>
    <mergeCell ref="I7:K7"/>
    <mergeCell ref="C13:E13"/>
    <mergeCell ref="B8:G8"/>
    <mergeCell ref="B11:B29"/>
    <mergeCell ref="B10:G10"/>
    <mergeCell ref="C23:G23"/>
    <mergeCell ref="C26:G26"/>
    <mergeCell ref="C14:E14"/>
    <mergeCell ref="C27:E29"/>
    <mergeCell ref="F27:F29"/>
    <mergeCell ref="G27:G29"/>
    <mergeCell ref="C22:E22"/>
    <mergeCell ref="C24:E25"/>
    <mergeCell ref="I14:K15"/>
    <mergeCell ref="B71:K71"/>
    <mergeCell ref="B72:K72"/>
    <mergeCell ref="C54:E54"/>
    <mergeCell ref="C61:E61"/>
    <mergeCell ref="C55:G55"/>
    <mergeCell ref="C63:G63"/>
    <mergeCell ref="C64:E65"/>
    <mergeCell ref="F64:F65"/>
    <mergeCell ref="G64:G65"/>
    <mergeCell ref="I61:K63"/>
    <mergeCell ref="I54:K55"/>
    <mergeCell ref="C62:E62"/>
    <mergeCell ref="B31:B49"/>
    <mergeCell ref="B51:B69"/>
    <mergeCell ref="C66:G66"/>
    <mergeCell ref="C46:G46"/>
    <mergeCell ref="C67:E69"/>
    <mergeCell ref="F67:F69"/>
    <mergeCell ref="G67:G69"/>
    <mergeCell ref="C32:E32"/>
    <mergeCell ref="C33:E33"/>
    <mergeCell ref="C34:E34"/>
    <mergeCell ref="C35:G35"/>
    <mergeCell ref="C43:G43"/>
    <mergeCell ref="C47:E49"/>
    <mergeCell ref="C52:E52"/>
    <mergeCell ref="C53:E53"/>
    <mergeCell ref="C51:E51"/>
    <mergeCell ref="I21:K23"/>
    <mergeCell ref="C42:E42"/>
    <mergeCell ref="C44:E45"/>
    <mergeCell ref="F44:F45"/>
    <mergeCell ref="G44:G45"/>
    <mergeCell ref="I41:K43"/>
    <mergeCell ref="I34:K35"/>
    <mergeCell ref="C41:E41"/>
  </mergeCells>
  <phoneticPr fontId="24" type="noConversion"/>
  <printOptions horizontalCentered="1"/>
  <pageMargins left="0.25" right="0.25" top="0.75" bottom="0.5" header="0.25" footer="0.25"/>
  <pageSetup scale="63" orientation="portrait" r:id="rId1"/>
  <headerFooter>
    <oddFooter>&amp;LNote:  This working sheet will provide a rough idea of New Pension, Approximate amount of Differencial contribution and Interest etc., based on Inpt and other parameters.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4</vt:i4>
      </vt:variant>
    </vt:vector>
  </HeadingPairs>
  <TitlesOfParts>
    <vt:vector size="10" baseType="lpstr">
      <vt:lpstr>Instructions</vt:lpstr>
      <vt:lpstr>निर्देश</vt:lpstr>
      <vt:lpstr>Input</vt:lpstr>
      <vt:lpstr>Pension Cal</vt:lpstr>
      <vt:lpstr>Amount Cal</vt:lpstr>
      <vt:lpstr>Output &amp; Statistics</vt:lpstr>
      <vt:lpstr>'Amount Cal'!Print_Area</vt:lpstr>
      <vt:lpstr>'Pension Cal'!Print_Area</vt:lpstr>
      <vt:lpstr>'Amount Cal'!Print_Titles</vt:lpstr>
      <vt:lpstr>Input!Print_Titles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2023-01-26T09:04:33Z</dcterms:modified>
</cp:coreProperties>
</file>