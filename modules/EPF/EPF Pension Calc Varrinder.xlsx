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निर्देश" sheetId="2" r:id="rId5"/>
    <sheet state="visible" name="Input" sheetId="3" r:id="rId6"/>
    <sheet state="hidden" name="Pension Cal" sheetId="4" r:id="rId7"/>
    <sheet state="hidden" name="Amount Cal" sheetId="5" r:id="rId8"/>
    <sheet state="visible" name="Output &amp; Statistics" sheetId="6" r:id="rId9"/>
  </sheets>
  <definedNames/>
  <calcPr/>
</workbook>
</file>

<file path=xl/sharedStrings.xml><?xml version="1.0" encoding="utf-8"?>
<sst xmlns="http://schemas.openxmlformats.org/spreadsheetml/2006/main" count="687" uniqueCount="281">
  <si>
    <t>EPS 1995 Pension - Input</t>
  </si>
  <si>
    <t>Developed by Mr. Neeraj Bhargava  (9950826109) in consultation with Mr. Parveen Kohli (9810306699)
&amp; with technical support from Mr. C Ramasamy</t>
  </si>
  <si>
    <t>Please read Instructions given in INSTRUCTIONS sheet carefully before proceeding for filling Input Sheet, else the results may differ from Actuals</t>
  </si>
  <si>
    <t>Fill data from existing PPO for Verifying / Calculating  "Ceiling Salary Pension" (Format for Dates : DD-MM-YYYY)</t>
  </si>
  <si>
    <t>Fill data for Calculating "Actual Salary Pension"</t>
  </si>
  <si>
    <t>Date of Birth</t>
  </si>
  <si>
    <t>Name</t>
  </si>
  <si>
    <t>VARRINDER KAUR RAINA</t>
  </si>
  <si>
    <t>Date of commencement of Actual Salary Pension (Format: DD-MM-YYYY)</t>
  </si>
  <si>
    <t>Date of Joining PF</t>
  </si>
  <si>
    <t>Non Contributory Period, if any (nos. in Days)</t>
  </si>
  <si>
    <t>Date of Exit</t>
  </si>
  <si>
    <t>Last month when full salary received</t>
  </si>
  <si>
    <t>Service Weightage (in years)</t>
  </si>
  <si>
    <t>Date of commencement of "Ceiling Amount Pension"</t>
  </si>
  <si>
    <t>S No</t>
  </si>
  <si>
    <t>Financial
Year</t>
  </si>
  <si>
    <t>Input data for Monthly PF'able salary</t>
  </si>
  <si>
    <t>Please fill PF'able Salary is considered like, 16th November to 30th November amount to be transferred in December month, December amount paid in January and likewise</t>
  </si>
  <si>
    <t>01-12-1995 
(16/11-30/11)</t>
  </si>
  <si>
    <t>1995-96</t>
  </si>
  <si>
    <t>EPS-95 started from 16-11-1995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</si>
  <si>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</si>
  <si>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</si>
  <si>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</si>
  <si>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</si>
  <si>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</si>
  <si>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</si>
  <si>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</si>
  <si>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</si>
  <si>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</si>
  <si>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</si>
  <si>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</si>
  <si>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</si>
  <si>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</si>
  <si>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</si>
  <si>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</si>
  <si>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</si>
  <si>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</si>
  <si>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</si>
  <si>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</si>
  <si>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</si>
  <si>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</si>
  <si>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</si>
  <si>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</si>
  <si>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</si>
  <si>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</si>
  <si>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</si>
  <si>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</si>
  <si>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</si>
  <si>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EPS 1995 Pension - "Ceiling Amount" &amp; "Actual Salary" Pension Calculation</t>
  </si>
  <si>
    <t>Developed by Mr. Neeraj Bhargava (9950826109) in consultation with Mr. Parveen Kohli (9810306699) &amp; with technical support from Mr. C Ramasamy</t>
  </si>
  <si>
    <t>Please read Instructions given in INSTRUCTIONS sheet carefully</t>
  </si>
  <si>
    <t>Year</t>
  </si>
  <si>
    <t>Month</t>
  </si>
  <si>
    <t>Days</t>
  </si>
  <si>
    <t xml:space="preserve">Computation of Past Service Factor  </t>
  </si>
  <si>
    <t>Years of Past Service</t>
  </si>
  <si>
    <t>Salary &lt;2500</t>
  </si>
  <si>
    <t>Salary &gt;=2500</t>
  </si>
  <si>
    <t>&lt;= 11 Years</t>
  </si>
  <si>
    <t>Date of EPS Joining</t>
  </si>
  <si>
    <t>&gt;11 Years &amp; &lt;=15 years</t>
  </si>
  <si>
    <t>Date of Change in Table B</t>
  </si>
  <si>
    <t>&gt; 15 Years &lt;= 20 years</t>
  </si>
  <si>
    <t>Date of Ceiling Change</t>
  </si>
  <si>
    <t>&gt;20 years</t>
  </si>
  <si>
    <t>Date of Superannuation</t>
  </si>
  <si>
    <t>DERIVED VALUE FOR THE PAST SERVICE</t>
  </si>
  <si>
    <t xml:space="preserve">Date of Commencement of Ceiling Amount Pension </t>
  </si>
  <si>
    <t>Past Service Factor (PSF)</t>
  </si>
  <si>
    <t>Date of Commencement of Actual Salary Pension</t>
  </si>
  <si>
    <t>Additional Details:</t>
  </si>
  <si>
    <t>Ceiling upto 31.08.2014</t>
  </si>
  <si>
    <t>Ceiling from 01.09.2014</t>
  </si>
  <si>
    <t>Computation of Table B Factor  (GSR 134E / GSR 438E)</t>
  </si>
  <si>
    <t>Service years from 16-11-1995 to Date of Exit</t>
  </si>
  <si>
    <t>DOE&lt;10.06.2008</t>
  </si>
  <si>
    <t>DOE&gt;=10.06.2008</t>
  </si>
  <si>
    <t xml:space="preserve">On Ceiling pension  </t>
  </si>
  <si>
    <t>Less than</t>
  </si>
  <si>
    <t>Years</t>
  </si>
  <si>
    <t>On Actual pension</t>
  </si>
  <si>
    <t>No cap</t>
  </si>
  <si>
    <t>Table B Value</t>
  </si>
  <si>
    <t>EPS Para Ref.</t>
  </si>
  <si>
    <t>Details</t>
  </si>
  <si>
    <t>No. of days</t>
  </si>
  <si>
    <t>Months</t>
  </si>
  <si>
    <t>9. Eligible Service</t>
  </si>
  <si>
    <t>Total Service</t>
  </si>
  <si>
    <t>Eligible Service</t>
  </si>
  <si>
    <t>Past Service (service upto 15.11.1995)</t>
  </si>
  <si>
    <t>10 (1) Pensionable Service</t>
  </si>
  <si>
    <t>Service from 16-11-1995 to 31-08-2014 or DoE</t>
  </si>
  <si>
    <t>Service from 01-09-2014 to Date of Exit</t>
  </si>
  <si>
    <t>Contribution received for the period</t>
  </si>
  <si>
    <t>10 (2) Weightage
of 2 years</t>
  </si>
  <si>
    <t>Weightage Service</t>
  </si>
  <si>
    <t>Non contributory period</t>
  </si>
  <si>
    <t>Total Pensionable Service
considering 6,500 limit</t>
  </si>
  <si>
    <t>Total Pensionable Service
considering 15,000 limit</t>
  </si>
  <si>
    <t>Early Exit Cal.</t>
  </si>
  <si>
    <t>Diff in Superannuation &amp; exit dates</t>
  </si>
  <si>
    <t>Ceiling Salary Pension</t>
  </si>
  <si>
    <t>Actual Salary Pension</t>
  </si>
  <si>
    <t>11. Pensionable Salary etc.</t>
  </si>
  <si>
    <t>Pensionable Service (Days)</t>
  </si>
  <si>
    <t>Pensionable Salary</t>
  </si>
  <si>
    <t>Past Service Factor</t>
  </si>
  <si>
    <t>Table B</t>
  </si>
  <si>
    <t>Pensionable
Salary</t>
  </si>
  <si>
    <t>Pre 01-09-2014 retirees</t>
  </si>
  <si>
    <t>Post 01-09-2014 retirees</t>
  </si>
  <si>
    <t>For Normal / Higher Pension</t>
  </si>
  <si>
    <t>Break up Details</t>
  </si>
  <si>
    <t>Pension Calculations</t>
  </si>
  <si>
    <t>12 (1) (a) Monthly Pension</t>
  </si>
  <si>
    <t>For Actual Service @ 6,500/-</t>
  </si>
  <si>
    <t>For Actual Service @ 15,000/-</t>
  </si>
  <si>
    <t>For Past Service (Table A x Table B)</t>
  </si>
  <si>
    <t>Total</t>
  </si>
  <si>
    <t>Superannuation Pension</t>
  </si>
  <si>
    <t>Spouse Pension (after Death)</t>
  </si>
  <si>
    <t>Children Pension (upto 25 yrs of Age)</t>
  </si>
  <si>
    <t>Orphan Pension</t>
  </si>
  <si>
    <t>12 (7)</t>
  </si>
  <si>
    <t>Reduced Monthly Pension</t>
  </si>
  <si>
    <t>12 (7B) a (i)</t>
  </si>
  <si>
    <t>Enhanced Monthly Pension</t>
  </si>
  <si>
    <t>VLOOKUP  Past Service</t>
  </si>
  <si>
    <t>VLOOKUP REF. TABLE B "CURRENT"</t>
  </si>
  <si>
    <t>VLOOKUP REF. TABLE B "OLD"</t>
  </si>
  <si>
    <t>GSR 438E WEF 10.06.2008</t>
  </si>
  <si>
    <t>GSR 134E DT 16.03.1996</t>
  </si>
  <si>
    <t>SALARY FACTOR</t>
  </si>
  <si>
    <t>Table B Effective &gt; = 10-06-2008</t>
  </si>
  <si>
    <t>Table B Effective upto 09-06-2008</t>
  </si>
  <si>
    <t>YEARS</t>
  </si>
  <si>
    <t>.T.</t>
  </si>
  <si>
    <t>&lt;2500</t>
  </si>
  <si>
    <t>&gt;2500</t>
  </si>
  <si>
    <t>PENSIONABLE SERVICE</t>
  </si>
  <si>
    <t xml:space="preserve">YEARS </t>
  </si>
  <si>
    <t>TRUE/NOT</t>
  </si>
  <si>
    <t>VALUE</t>
  </si>
  <si>
    <t xml:space="preserve">Less than 1 </t>
  </si>
  <si>
    <t xml:space="preserve">Less than 2 </t>
  </si>
  <si>
    <t xml:space="preserve">Less than 3 </t>
  </si>
  <si>
    <t xml:space="preserve">Less than 4 </t>
  </si>
  <si>
    <t>Less than 5</t>
  </si>
  <si>
    <t>Less than 6</t>
  </si>
  <si>
    <t>Less than 7</t>
  </si>
  <si>
    <t>Less than 8</t>
  </si>
  <si>
    <t>Less than 9</t>
  </si>
  <si>
    <t>Less than 10</t>
  </si>
  <si>
    <t>Less than 11</t>
  </si>
  <si>
    <t>Less than 12</t>
  </si>
  <si>
    <t>Less than 13</t>
  </si>
  <si>
    <t>Less than 14</t>
  </si>
  <si>
    <t>Less than 15</t>
  </si>
  <si>
    <t>Less than 16</t>
  </si>
  <si>
    <t>Less than 17</t>
  </si>
  <si>
    <t>Less than 18</t>
  </si>
  <si>
    <t>Less than 19</t>
  </si>
  <si>
    <t>Less than 20</t>
  </si>
  <si>
    <t>Less than 21</t>
  </si>
  <si>
    <t>Less than 22</t>
  </si>
  <si>
    <t>Less than 23</t>
  </si>
  <si>
    <t>Less than 24</t>
  </si>
  <si>
    <t>Less than 25</t>
  </si>
  <si>
    <t>Less than 26</t>
  </si>
  <si>
    <t>Less than 27</t>
  </si>
  <si>
    <t>Less than 28</t>
  </si>
  <si>
    <t>Less than 29</t>
  </si>
  <si>
    <t>Less than 30</t>
  </si>
  <si>
    <t>Less than 31</t>
  </si>
  <si>
    <t>Less than 32</t>
  </si>
  <si>
    <t>Less than 33</t>
  </si>
  <si>
    <t>Less than 34</t>
  </si>
  <si>
    <t>Salary</t>
  </si>
  <si>
    <t>EPS 1995 Pension - Differential Amount and Interest Payable Calculations</t>
  </si>
  <si>
    <t>Developed by Mr. Neeraj Bhargava  (9950826109) in consultation with Mr. Parveen Kohli (9810306699) &amp; with technical support from Mr. C Ramasamy</t>
  </si>
  <si>
    <t>Wage
Ceiling</t>
  </si>
  <si>
    <t>From</t>
  </si>
  <si>
    <t>To</t>
  </si>
  <si>
    <t>Ceiling</t>
  </si>
  <si>
    <t>Max
Contribution</t>
  </si>
  <si>
    <t>Ceiling 1</t>
  </si>
  <si>
    <t>31-05-2001</t>
  </si>
  <si>
    <t>Ceiling 2</t>
  </si>
  <si>
    <t>31-08-2014</t>
  </si>
  <si>
    <t>Ceiling 3</t>
  </si>
  <si>
    <t>Date of commencement of "Actual Salary Pension"</t>
  </si>
  <si>
    <t>Financial Year &amp;
Rate of Interest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</si>
  <si>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</si>
  <si>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</si>
  <si>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</si>
  <si>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</si>
  <si>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</si>
  <si>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</si>
  <si>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</si>
  <si>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</si>
  <si>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</si>
  <si>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</si>
  <si>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</si>
  <si>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</si>
  <si>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Differential Amount to be paid</t>
  </si>
  <si>
    <t>Contribution</t>
  </si>
  <si>
    <t>Interest</t>
  </si>
  <si>
    <t>PF'able Salary</t>
  </si>
  <si>
    <t>8.33% of PF'able Salary</t>
  </si>
  <si>
    <t>Pension contribution
(on ceiling)</t>
  </si>
  <si>
    <t>Addl Amount Payable
on PF'able Salary</t>
  </si>
  <si>
    <t>Interest rate</t>
  </si>
  <si>
    <t>Progressive balance</t>
  </si>
  <si>
    <t>Interest amount</t>
  </si>
  <si>
    <t>Interest rate
(Apr ~ June)</t>
  </si>
  <si>
    <t>Interest rate
(July onwards)</t>
  </si>
  <si>
    <t>Addl amount of Govt contribution above 1.16% of Ceiling limit</t>
  </si>
  <si>
    <t>Last 12 months / 60 Months PF'ble Salary (Salary reckoned for PF calculation without any arrears)</t>
  </si>
  <si>
    <t>Retiring Month (in reverse order)</t>
  </si>
  <si>
    <t>PF'ble Salary/
Wages</t>
  </si>
  <si>
    <t>Amount</t>
  </si>
  <si>
    <t>EPS 1995 Pension - Output &amp; Statistics (Ratios)</t>
  </si>
  <si>
    <t>::</t>
  </si>
  <si>
    <t>Date of Commencement of Ceiling Salary Pension</t>
  </si>
  <si>
    <t>Output</t>
  </si>
  <si>
    <t>Statistics (Ratios)</t>
  </si>
  <si>
    <t>Superannuated
Pension</t>
  </si>
  <si>
    <t>Amount type</t>
  </si>
  <si>
    <t>Amount in Rs.</t>
  </si>
  <si>
    <t>Ratios</t>
  </si>
  <si>
    <t>Value</t>
  </si>
  <si>
    <t>Increase in Pension Amount (in numbers)</t>
  </si>
  <si>
    <t>2/1</t>
  </si>
  <si>
    <t>Difference between Proposed commencement of actual salary pension and Start of ceiling salary pension (in months)</t>
  </si>
  <si>
    <t>9</t>
  </si>
  <si>
    <t>Increase in Pension
(Difference in Actual Salary &amp; Ceiling Amount Pension)</t>
  </si>
  <si>
    <t>2-1</t>
  </si>
  <si>
    <t>Differential contribution</t>
  </si>
  <si>
    <t>Differential contribution / Differential contribution with total interest (in %)</t>
  </si>
  <si>
    <t>3/3+6</t>
  </si>
  <si>
    <t>Additional amount Paid for 1.16% Govt share after 01-09-2014</t>
  </si>
  <si>
    <t>Additional amount / Differential contribution with total interest (in %)</t>
  </si>
  <si>
    <t>4/3+6</t>
  </si>
  <si>
    <t>Interest on differential contribution</t>
  </si>
  <si>
    <t>Interest till date of retirement / Differential contribution with total interest (in %)</t>
  </si>
  <si>
    <t>5/3+6</t>
  </si>
  <si>
    <t>Interest on differential contribution &amp; interest</t>
  </si>
  <si>
    <t>5-6</t>
  </si>
  <si>
    <t>Interest on differential contribution &amp; interest / Differential contribution with total interest (in %)</t>
  </si>
  <si>
    <t>5-6/3+6</t>
  </si>
  <si>
    <t>Total Interest</t>
  </si>
  <si>
    <t>Total Interest / Differential contribution with total Interest
(in %)</t>
  </si>
  <si>
    <t>6/3+6</t>
  </si>
  <si>
    <t>Differential Contribution with Total Interest</t>
  </si>
  <si>
    <t>3+6</t>
  </si>
  <si>
    <t>Total to pay to EPFO</t>
  </si>
  <si>
    <t>4+3+6</t>
  </si>
  <si>
    <t>Pension Revision Arrear (without interest)</t>
  </si>
  <si>
    <t>Balance amount will be recovered (in months) *</t>
  </si>
  <si>
    <t>3+6-7/
2-1</t>
  </si>
  <si>
    <t>Pension Arrear / Payment to EPFO (in numbers)</t>
  </si>
  <si>
    <t>7/
4+3+6</t>
  </si>
  <si>
    <t>Average 12/60 months salary</t>
  </si>
  <si>
    <t>Actual Salary Pension / 60 months average salary (in %)</t>
  </si>
  <si>
    <t>2/8</t>
  </si>
  <si>
    <t>Differential contribution with Interest / 60 months average salary (in numbers)</t>
  </si>
  <si>
    <t>3+6/8</t>
  </si>
  <si>
    <t>Pension Revision Arrears without interest / 60 months average salary (in numbers) **</t>
  </si>
  <si>
    <t>7/8</t>
  </si>
  <si>
    <t>Reduceded
Pension</t>
  </si>
  <si>
    <t>Differential contribution / Differential contribution with interest (in %)</t>
  </si>
  <si>
    <t>Additional amount / Differential contribution with interest (in %)</t>
  </si>
  <si>
    <t>Interest till date of retirement / Differential contribution with interest (in %)</t>
  </si>
  <si>
    <t>Total Interest / Differential contribution with Interest (in %)</t>
  </si>
  <si>
    <t>Differential contribution with Interest</t>
  </si>
  <si>
    <t>Enhanced
Pension</t>
  </si>
  <si>
    <t>* If Pension arrear is less than differential amount plus interest and if adjustment is permitted by EPFO</t>
  </si>
  <si>
    <t>** If ROC, Commutation etc., reduction factors are 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</si>
</sst>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14009]dd/mm/yyyy"/>
    <numFmt numFmtId="165" formatCode="_(* #,##0_);_(* \(#,##0\);_(* &quot;-&quot;??_);_(@_)"/>
    <numFmt numFmtId="166" formatCode="0.000"/>
    <numFmt numFmtId="167" formatCode="_(* #,##0.0000_);_(* \(#,##0.0000\);_(* &quot;-&quot;??_);_(@_)"/>
    <numFmt numFmtId="168" formatCode="_(* #,##0.00_);_(* \(#,##0.00\);_(* &quot;-&quot;??_);_(@_)"/>
    <numFmt numFmtId="169" formatCode="D/M/YYYY"/>
    <numFmt numFmtId="170" formatCode="[$-409]mmm\-yy"/>
    <numFmt numFmtId="171" formatCode="dd/mm/yyyy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0000"/>
      <name val="Calibri"/>
    </font>
    <font/>
    <font>
      <b/>
      <sz val="12.0"/>
      <color rgb="FFFF0000"/>
      <name val="Calibri"/>
    </font>
    <font>
      <b/>
      <sz val="12.0"/>
      <color theme="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9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14.0"/>
      <color rgb="FFFF0000"/>
      <name val="Calibri"/>
    </font>
    <font>
      <i/>
      <sz val="11.0"/>
      <color rgb="FF1E1E1E"/>
      <name val="Quattrocento Sans"/>
    </font>
    <font>
      <sz val="12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D6E3BC"/>
        <bgColor rgb="FFD6E3BC"/>
      </patternFill>
    </fill>
    <fill>
      <patternFill patternType="solid">
        <fgColor rgb="FFFBD5F8"/>
        <bgColor rgb="FFFBD5F8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5A1EF"/>
        <bgColor rgb="FFF5A1EF"/>
      </patternFill>
    </fill>
    <fill>
      <patternFill patternType="solid">
        <fgColor rgb="FF00B0F0"/>
        <bgColor rgb="FF00B0F0"/>
      </patternFill>
    </fill>
    <fill>
      <patternFill patternType="solid">
        <fgColor rgb="FFE5DFEC"/>
        <bgColor rgb="FFE5DFEC"/>
      </patternFill>
    </fill>
  </fills>
  <borders count="6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4" fontId="7" numFmtId="49" xfId="0" applyAlignment="1" applyBorder="1" applyFill="1" applyFont="1" applyNumberFormat="1">
      <alignment shrinkToFit="0" vertical="center" wrapText="1"/>
    </xf>
    <xf borderId="4" fillId="5" fontId="7" numFmtId="164" xfId="0" applyAlignment="1" applyBorder="1" applyFill="1" applyFont="1" applyNumberFormat="1">
      <alignment readingOrder="0" shrinkToFit="0" vertical="center" wrapText="1"/>
    </xf>
    <xf borderId="4" fillId="4" fontId="7" numFmtId="49" xfId="0" applyAlignment="1" applyBorder="1" applyFont="1" applyNumberFormat="1">
      <alignment shrinkToFit="0" vertical="center" wrapText="1"/>
    </xf>
    <xf borderId="1" fillId="5" fontId="7" numFmtId="165" xfId="0" applyAlignment="1" applyBorder="1" applyFont="1" applyNumberFormat="1">
      <alignment horizontal="center" readingOrder="0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4" fontId="7" numFmtId="0" xfId="0" applyAlignment="1" applyBorder="1" applyFont="1">
      <alignment shrinkToFit="0" vertical="center" wrapText="1"/>
    </xf>
    <xf borderId="4" fillId="5" fontId="1" numFmtId="1" xfId="0" applyAlignment="1" applyBorder="1" applyFont="1" applyNumberFormat="1">
      <alignment horizontal="righ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5" fillId="4" fontId="7" numFmtId="0" xfId="0" applyAlignment="1" applyBorder="1" applyFont="1">
      <alignment horizontal="center" shrinkToFit="0" vertical="center" wrapText="1"/>
    </xf>
    <xf borderId="10" fillId="5" fontId="7" numFmtId="164" xfId="0" applyAlignment="1" applyBorder="1" applyFont="1" applyNumberFormat="1">
      <alignment horizontal="center" readingOrder="0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0" fillId="5" fontId="1" numFmtId="165" xfId="0" applyAlignment="1" applyBorder="1" applyFont="1" applyNumberForma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5" fontId="7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0" fillId="6" fontId="8" numFmtId="0" xfId="0" applyAlignment="1" applyBorder="1" applyFill="1" applyFont="1">
      <alignment horizontal="center" vertical="center"/>
    </xf>
    <xf borderId="10" fillId="6" fontId="8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4" fillId="7" fontId="7" numFmtId="17" xfId="0" applyAlignment="1" applyBorder="1" applyFill="1" applyFont="1" applyNumberFormat="1">
      <alignment horizontal="center" shrinkToFit="0" vertical="center" wrapText="1"/>
    </xf>
    <xf borderId="4" fillId="6" fontId="8" numFmtId="0" xfId="0" applyAlignment="1" applyBorder="1" applyFont="1">
      <alignment shrinkToFit="0" vertical="center" wrapText="1"/>
    </xf>
    <xf borderId="10" fillId="4" fontId="1" numFmtId="0" xfId="0" applyAlignment="1" applyBorder="1" applyFont="1">
      <alignment horizontal="center" vertical="center"/>
    </xf>
    <xf borderId="4" fillId="0" fontId="7" numFmtId="17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5" fontId="1" numFmtId="165" xfId="0" applyAlignment="1" applyBorder="1" applyFont="1" applyNumberFormat="1">
      <alignment horizontal="right" vertical="center"/>
    </xf>
    <xf borderId="4" fillId="5" fontId="1" numFmtId="165" xfId="0" applyAlignment="1" applyBorder="1" applyFont="1" applyNumberFormat="1">
      <alignment vertical="center"/>
    </xf>
    <xf borderId="4" fillId="8" fontId="7" numFmtId="17" xfId="0" applyAlignment="1" applyBorder="1" applyFill="1" applyFont="1" applyNumberFormat="1">
      <alignment horizontal="center" shrinkToFit="0" vertical="center" wrapText="1"/>
    </xf>
    <xf borderId="4" fillId="5" fontId="1" numFmtId="165" xfId="0" applyAlignment="1" applyBorder="1" applyFont="1" applyNumberFormat="1">
      <alignment readingOrder="0" vertical="center"/>
    </xf>
    <xf borderId="0" fillId="0" fontId="10" numFmtId="0" xfId="0" applyAlignment="1" applyFont="1">
      <alignment readingOrder="0"/>
    </xf>
    <xf borderId="18" fillId="2" fontId="2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2" fontId="4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1" fillId="4" fontId="9" numFmtId="0" xfId="0" applyAlignment="1" applyBorder="1" applyFont="1">
      <alignment horizontal="center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165" xfId="0" applyAlignment="1" applyBorder="1" applyFill="1" applyFont="1" applyNumberForma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1" fillId="10" fontId="7" numFmtId="49" xfId="0" applyAlignment="1" applyBorder="1" applyFont="1" applyNumberFormat="1">
      <alignment horizontal="left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7" numFmtId="49" xfId="0" applyAlignment="1" applyBorder="1" applyFont="1" applyNumberFormat="1">
      <alignment horizontal="left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11" fontId="1" numFmtId="164" xfId="0" applyAlignment="1" applyBorder="1" applyFill="1" applyFont="1" applyNumberForma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0" fontId="11" numFmtId="49" xfId="0" applyAlignment="1" applyBorder="1" applyFont="1" applyNumberFormat="1">
      <alignment horizontal="left" shrinkToFit="0" vertical="center" wrapText="1"/>
    </xf>
    <xf borderId="1" fillId="9" fontId="7" numFmtId="49" xfId="0" applyAlignment="1" applyBorder="1" applyFont="1" applyNumberFormat="1">
      <alignment horizontal="center" shrinkToFit="0" vertical="center" wrapText="1"/>
    </xf>
    <xf borderId="1" fillId="9" fontId="7" numFmtId="1" xfId="0" applyAlignment="1" applyBorder="1" applyFont="1" applyNumberFormat="1">
      <alignment horizontal="center" shrinkToFit="0" vertical="center" wrapText="1"/>
    </xf>
    <xf borderId="1" fillId="10" fontId="6" numFmtId="49" xfId="0" applyAlignment="1" applyBorder="1" applyFont="1" applyNumberFormat="1">
      <alignment horizontal="left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10" fontId="1" numFmtId="166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165" xfId="0" applyAlignment="1" applyFont="1" applyNumberFormat="1">
      <alignment shrinkToFit="0" vertical="center" wrapText="1"/>
    </xf>
    <xf borderId="1" fillId="0" fontId="7" numFmtId="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7" numFmtId="165" xfId="0" applyAlignment="1" applyFont="1" applyNumberFormat="1">
      <alignment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0" fillId="0" fontId="7" numFmtId="167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4" fillId="9" fontId="7" numFmtId="0" xfId="0" applyAlignment="1" applyBorder="1" applyFont="1">
      <alignment horizontal="center" shrinkToFit="0" vertical="center" wrapText="1"/>
    </xf>
    <xf borderId="25" fillId="9" fontId="7" numFmtId="0" xfId="0" applyAlignment="1" applyBorder="1" applyFont="1">
      <alignment horizontal="center" shrinkToFit="0" vertical="center" wrapText="1"/>
    </xf>
    <xf borderId="26" fillId="9" fontId="7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shrinkToFit="0" vertical="center" wrapText="1"/>
    </xf>
    <xf borderId="4" fillId="0" fontId="1" numFmtId="165" xfId="0" applyAlignment="1" applyBorder="1" applyFont="1" applyNumberFormat="1">
      <alignment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1" numFmtId="165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shrinkToFit="0" vertical="center" wrapText="1"/>
    </xf>
    <xf borderId="1" fillId="13" fontId="9" numFmtId="165" xfId="0" applyAlignment="1" applyBorder="1" applyFill="1" applyFont="1" applyNumberFormat="1">
      <alignment horizontal="center" shrinkToFit="0" vertical="center" wrapText="1"/>
    </xf>
    <xf borderId="0" fillId="0" fontId="9" numFmtId="165" xfId="0" applyAlignment="1" applyFont="1" applyNumberForma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27" fillId="14" fontId="12" numFmtId="0" xfId="0" applyAlignment="1" applyBorder="1" applyFill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0" fillId="0" fontId="12" numFmtId="0" xfId="0" applyAlignment="1" applyFont="1">
      <alignment horizontal="center" shrinkToFit="0" vertical="center" wrapText="1"/>
    </xf>
    <xf borderId="1" fillId="14" fontId="12" numFmtId="0" xfId="0" applyAlignment="1" applyBorder="1" applyFont="1">
      <alignment horizontal="center" shrinkToFit="0" vertical="center" wrapText="1"/>
    </xf>
    <xf borderId="30" fillId="15" fontId="12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166" xfId="0" applyAlignment="1" applyBorder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4" fillId="0" fontId="7" numFmtId="169" xfId="0" applyAlignment="1" applyBorder="1" applyFont="1" applyNumberFormat="1">
      <alignment horizontal="center" shrinkToFit="0" vertical="center" wrapText="1"/>
    </xf>
    <xf borderId="4" fillId="0" fontId="1" numFmtId="0" xfId="0" applyBorder="1" applyFont="1"/>
    <xf borderId="4" fillId="7" fontId="1" numFmtId="1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ont="1">
      <alignment horizontal="center" shrinkToFit="0" vertical="center" wrapText="1"/>
    </xf>
    <xf borderId="4" fillId="8" fontId="1" numFmtId="1" xfId="0" applyAlignment="1" applyBorder="1" applyFont="1" applyNumberForma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6" fontId="1" numFmtId="1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1" fillId="9" fontId="1" numFmtId="165" xfId="0" applyAlignment="1" applyBorder="1" applyFont="1" applyNumberFormat="1">
      <alignment horizontal="center" shrinkToFit="0" vertical="center" wrapText="1"/>
    </xf>
    <xf borderId="4" fillId="7" fontId="1" numFmtId="164" xfId="0" applyAlignment="1" applyBorder="1" applyFont="1" applyNumberFormat="1">
      <alignment shrinkToFit="0" vertical="center" wrapText="1"/>
    </xf>
    <xf borderId="4" fillId="7" fontId="1" numFmtId="164" xfId="0" applyAlignment="1" applyBorder="1" applyFont="1" applyNumberFormat="1">
      <alignment horizontal="center" shrinkToFit="0" vertical="center" wrapText="1"/>
    </xf>
    <xf borderId="4" fillId="7" fontId="1" numFmtId="165" xfId="0" applyAlignment="1" applyBorder="1" applyFont="1" applyNumberFormat="1">
      <alignment horizontal="center" shrinkToFit="0" vertical="center" wrapText="1"/>
    </xf>
    <xf borderId="4" fillId="8" fontId="1" numFmtId="164" xfId="0" applyAlignment="1" applyBorder="1" applyFont="1" applyNumberFormat="1">
      <alignment horizontal="center" shrinkToFit="0" vertical="center" wrapText="1"/>
    </xf>
    <xf borderId="4" fillId="8" fontId="1" numFmtId="165" xfId="0" applyAlignment="1" applyBorder="1" applyFont="1" applyNumberFormat="1">
      <alignment horizontal="center" shrinkToFit="0" vertical="center" wrapText="1"/>
    </xf>
    <xf borderId="4" fillId="6" fontId="1" numFmtId="164" xfId="0" applyAlignment="1" applyBorder="1" applyFont="1" applyNumberFormat="1">
      <alignment shrinkToFit="0" vertical="center" wrapText="1"/>
    </xf>
    <xf borderId="4" fillId="6" fontId="1" numFmtId="165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4" fillId="0" fontId="1" numFmtId="165" xfId="0" applyAlignment="1" applyBorder="1" applyFont="1" applyNumberFormat="1">
      <alignment horizontal="right" vertical="center"/>
    </xf>
    <xf borderId="32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5" fillId="11" fontId="1" numFmtId="1" xfId="0" applyAlignment="1" applyBorder="1" applyFont="1" applyNumberFormat="1">
      <alignment horizontal="center" shrinkToFit="0" vertical="center" wrapText="1"/>
    </xf>
    <xf borderId="36" fillId="0" fontId="1" numFmtId="1" xfId="0" applyAlignment="1" applyBorder="1" applyFont="1" applyNumberFormat="1">
      <alignment horizontal="center" shrinkToFit="0" vertical="center" wrapText="1"/>
    </xf>
    <xf borderId="36" fillId="0" fontId="1" numFmtId="169" xfId="0" applyAlignment="1" applyBorder="1" applyFont="1" applyNumberFormat="1">
      <alignment shrinkToFit="0" vertical="center" wrapText="1"/>
    </xf>
    <xf borderId="37" fillId="0" fontId="1" numFmtId="169" xfId="0" applyAlignment="1" applyBorder="1" applyFont="1" applyNumberFormat="1">
      <alignment shrinkToFit="0" vertical="center" wrapText="1"/>
    </xf>
    <xf borderId="35" fillId="0" fontId="1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1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7" numFmtId="165" xfId="0" applyAlignment="1" applyBorder="1" applyFont="1" applyNumberFormat="1">
      <alignment shrinkToFit="0" vertical="center" wrapText="1"/>
    </xf>
    <xf borderId="4" fillId="7" fontId="1" numFmtId="165" xfId="0" applyAlignment="1" applyBorder="1" applyFont="1" applyNumberFormat="1">
      <alignment horizontal="right" shrinkToFit="0" vertical="center" wrapText="1"/>
    </xf>
    <xf borderId="4" fillId="15" fontId="1" numFmtId="165" xfId="0" applyAlignment="1" applyBorder="1" applyFont="1" applyNumberFormat="1">
      <alignment horizontal="right" shrinkToFit="0" vertical="center" wrapText="1"/>
    </xf>
    <xf borderId="4" fillId="0" fontId="1" numFmtId="165" xfId="0" applyAlignment="1" applyBorder="1" applyFont="1" applyNumberFormat="1">
      <alignment horizontal="right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3" fillId="0" fontId="1" numFmtId="165" xfId="0" applyAlignment="1" applyBorder="1" applyFont="1" applyNumberFormat="1">
      <alignment horizontal="right" shrinkToFit="0" vertical="center" wrapText="1"/>
    </xf>
    <xf borderId="1" fillId="0" fontId="1" numFmtId="165" xfId="0" applyAlignment="1" applyBorder="1" applyFont="1" applyNumberFormat="1">
      <alignment horizontal="right" shrinkToFit="0" vertical="center" wrapText="1"/>
    </xf>
    <xf borderId="4" fillId="0" fontId="1" numFmtId="10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horizontal="left" shrinkToFit="0" vertical="center" wrapText="1"/>
    </xf>
    <xf borderId="4" fillId="7" fontId="1" numFmtId="168" xfId="0" applyAlignment="1" applyBorder="1" applyFont="1" applyNumberFormat="1">
      <alignment horizontal="right" shrinkToFit="0" vertical="center" wrapText="1"/>
    </xf>
    <xf borderId="4" fillId="0" fontId="1" numFmtId="168" xfId="0" applyAlignment="1" applyBorder="1" applyFont="1" applyNumberFormat="1">
      <alignment horizontal="right" shrinkToFit="0" vertical="center" wrapText="1"/>
    </xf>
    <xf borderId="26" fillId="4" fontId="7" numFmtId="165" xfId="0" applyAlignment="1" applyBorder="1" applyFont="1" applyNumberFormat="1">
      <alignment horizontal="center" shrinkToFit="0" vertical="center" wrapText="1"/>
    </xf>
    <xf borderId="4" fillId="4" fontId="7" numFmtId="165" xfId="0" applyAlignment="1" applyBorder="1" applyFont="1" applyNumberFormat="1">
      <alignment horizontal="center" shrinkToFit="0" vertical="center" wrapText="1"/>
    </xf>
    <xf borderId="24" fillId="4" fontId="7" numFmtId="165" xfId="0" applyAlignment="1" applyBorder="1" applyFont="1" applyNumberFormat="1">
      <alignment horizontal="center" shrinkToFit="0" vertical="center" wrapText="1"/>
    </xf>
    <xf borderId="4" fillId="0" fontId="1" numFmtId="17" xfId="0" applyAlignment="1" applyBorder="1" applyFont="1" applyNumberFormat="1">
      <alignment horizontal="center" shrinkToFit="0" vertical="center" wrapText="1"/>
    </xf>
    <xf borderId="4" fillId="16" fontId="1" numFmtId="1" xfId="0" applyAlignment="1" applyBorder="1" applyFill="1" applyFont="1" applyNumberFormat="1">
      <alignment horizontal="center" shrinkToFit="0" vertical="center" wrapText="1"/>
    </xf>
    <xf borderId="4" fillId="16" fontId="1" numFmtId="10" xfId="0" applyAlignment="1" applyBorder="1" applyFont="1" applyNumberFormat="1">
      <alignment horizontal="center" shrinkToFit="0" vertical="center" wrapText="1"/>
    </xf>
    <xf borderId="4" fillId="17" fontId="1" numFmtId="1" xfId="0" applyAlignment="1" applyBorder="1" applyFill="1" applyFont="1" applyNumberFormat="1">
      <alignment horizontal="center" shrinkToFit="0" vertical="center" wrapText="1"/>
    </xf>
    <xf borderId="4" fillId="17" fontId="1" numFmtId="10" xfId="0" applyAlignment="1" applyBorder="1" applyFont="1" applyNumberFormat="1">
      <alignment horizontal="center" shrinkToFit="0" vertical="center" wrapText="1"/>
    </xf>
    <xf borderId="4" fillId="16" fontId="1" numFmtId="165" xfId="0" applyAlignment="1" applyBorder="1" applyFont="1" applyNumberFormat="1">
      <alignment shrinkToFit="0" vertical="center" wrapText="1"/>
    </xf>
    <xf borderId="4" fillId="16" fontId="1" numFmtId="165" xfId="0" applyAlignment="1" applyBorder="1" applyFont="1" applyNumberFormat="1">
      <alignment horizontal="right" shrinkToFit="0" vertical="center" wrapText="1"/>
    </xf>
    <xf borderId="4" fillId="17" fontId="1" numFmtId="165" xfId="0" applyAlignment="1" applyBorder="1" applyFont="1" applyNumberFormat="1">
      <alignment horizontal="right" shrinkToFit="0" vertical="center" wrapText="1"/>
    </xf>
    <xf borderId="4" fillId="15" fontId="1" numFmtId="17" xfId="0" applyAlignment="1" applyBorder="1" applyFont="1" applyNumberFormat="1">
      <alignment horizontal="center" shrinkToFit="0" vertical="center" wrapText="1"/>
    </xf>
    <xf borderId="4" fillId="8" fontId="1" numFmtId="17" xfId="0" applyAlignment="1" applyBorder="1" applyFont="1" applyNumberFormat="1">
      <alignment horizontal="center" shrinkToFit="0" vertical="center" wrapText="1"/>
    </xf>
    <xf borderId="3" fillId="0" fontId="7" numFmtId="1" xfId="0" applyAlignment="1" applyBorder="1" applyFont="1" applyNumberFormat="1">
      <alignment horizontal="center" shrinkToFit="0" vertical="center" wrapText="1"/>
    </xf>
    <xf borderId="4" fillId="8" fontId="1" numFmtId="165" xfId="0" applyAlignment="1" applyBorder="1" applyFont="1" applyNumberFormat="1">
      <alignment horizontal="righ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18" fontId="1" numFmtId="17" xfId="0" applyAlignment="1" applyBorder="1" applyFill="1" applyFont="1" applyNumberFormat="1">
      <alignment horizontal="center" shrinkToFit="0" vertical="center" wrapText="1"/>
    </xf>
    <xf borderId="38" fillId="0" fontId="1" numFmtId="0" xfId="0" applyAlignment="1" applyBorder="1" applyFont="1">
      <alignment horizontal="center" shrinkToFit="0" vertical="center" wrapText="1"/>
    </xf>
    <xf borderId="4" fillId="18" fontId="1" numFmtId="165" xfId="0" applyAlignment="1" applyBorder="1" applyFont="1" applyNumberFormat="1">
      <alignment horizontal="right" shrinkToFit="0" vertical="center" wrapText="1"/>
    </xf>
    <xf borderId="4" fillId="11" fontId="1" numFmtId="0" xfId="0" applyAlignment="1" applyBorder="1" applyFont="1">
      <alignment horizontal="left" shrinkToFit="0" vertical="center" wrapText="1"/>
    </xf>
    <xf borderId="4" fillId="11" fontId="1" numFmtId="165" xfId="0" applyAlignment="1" applyBorder="1" applyFont="1" applyNumberFormat="1">
      <alignment horizontal="right" shrinkToFit="0" vertical="center" wrapText="1"/>
    </xf>
    <xf borderId="4" fillId="11" fontId="7" numFmtId="165" xfId="0" applyAlignment="1" applyBorder="1" applyFont="1" applyNumberFormat="1">
      <alignment horizontal="right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4" fillId="0" fontId="1" numFmtId="169" xfId="0" applyAlignment="1" applyBorder="1" applyFont="1" applyNumberFormat="1">
      <alignment shrinkToFit="0" vertical="center" wrapText="1"/>
    </xf>
    <xf borderId="4" fillId="0" fontId="1" numFmtId="169" xfId="0" applyAlignment="1" applyBorder="1" applyFont="1" applyNumberFormat="1">
      <alignment horizontal="center" shrinkToFit="0" vertical="center" wrapText="1"/>
    </xf>
    <xf borderId="3" fillId="0" fontId="7" numFmtId="165" xfId="0" applyAlignment="1" applyBorder="1" applyFont="1" applyNumberFormat="1">
      <alignment horizontal="center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11" fontId="12" numFmtId="10" xfId="0" applyAlignment="1" applyBorder="1" applyFont="1" applyNumberFormat="1">
      <alignment horizontal="center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right" shrinkToFit="0" vertical="center" wrapText="1"/>
    </xf>
    <xf borderId="1" fillId="4" fontId="7" numFmtId="0" xfId="0" applyAlignment="1" applyBorder="1" applyFont="1">
      <alignment horizontal="center" vertical="center"/>
    </xf>
    <xf borderId="10" fillId="4" fontId="8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38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21" fillId="2" fontId="15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0" fillId="0" fontId="8" numFmtId="0" xfId="0" applyAlignment="1" applyFont="1">
      <alignment horizontal="center" vertical="center"/>
    </xf>
    <xf borderId="18" fillId="15" fontId="8" numFmtId="0" xfId="0" applyAlignment="1" applyBorder="1" applyFont="1">
      <alignment horizontal="left" shrinkToFit="0" vertical="center" wrapText="1"/>
    </xf>
    <xf borderId="30" fillId="15" fontId="8" numFmtId="165" xfId="0" applyAlignment="1" applyBorder="1" applyFont="1" applyNumberFormat="1">
      <alignment horizontal="center" vertical="center"/>
    </xf>
    <xf borderId="18" fillId="15" fontId="8" numFmtId="165" xfId="0" applyAlignment="1" applyBorder="1" applyFont="1" applyNumberFormat="1">
      <alignment horizontal="center" shrinkToFit="0" vertical="center" wrapText="1"/>
    </xf>
    <xf borderId="40" fillId="15" fontId="8" numFmtId="0" xfId="0" applyAlignment="1" applyBorder="1" applyFont="1">
      <alignment horizontal="left" shrinkToFit="0" vertical="center" wrapText="1"/>
    </xf>
    <xf borderId="41" fillId="0" fontId="3" numFmtId="0" xfId="0" applyBorder="1" applyFont="1"/>
    <xf borderId="40" fillId="15" fontId="8" numFmtId="171" xfId="0" applyAlignment="1" applyBorder="1" applyFont="1" applyNumberFormat="1">
      <alignment horizontal="center" shrinkToFit="0" vertical="center" wrapText="1"/>
    </xf>
    <xf borderId="21" fillId="15" fontId="8" numFmtId="0" xfId="0" applyAlignment="1" applyBorder="1" applyFont="1">
      <alignment horizontal="left" vertical="center"/>
    </xf>
    <xf borderId="21" fillId="15" fontId="8" numFmtId="171" xfId="0" applyAlignment="1" applyBorder="1" applyFont="1" applyNumberFormat="1">
      <alignment horizontal="center" shrinkToFit="0" vertical="center" wrapText="1"/>
    </xf>
    <xf borderId="42" fillId="0" fontId="1" numFmtId="0" xfId="0" applyAlignment="1" applyBorder="1" applyFont="1">
      <alignment horizontal="center" vertical="center"/>
    </xf>
    <xf borderId="42" fillId="0" fontId="3" numFmtId="0" xfId="0" applyBorder="1" applyFont="1"/>
    <xf borderId="0" fillId="0" fontId="16" numFmtId="0" xfId="0" applyAlignment="1" applyFont="1">
      <alignment vertical="center"/>
    </xf>
    <xf borderId="43" fillId="18" fontId="17" numFmtId="0" xfId="0" applyAlignment="1" applyBorder="1" applyFont="1">
      <alignment horizontal="center" vertical="center"/>
    </xf>
    <xf borderId="44" fillId="0" fontId="3" numFmtId="0" xfId="0" applyBorder="1" applyFont="1"/>
    <xf borderId="45" fillId="0" fontId="1" numFmtId="0" xfId="0" applyAlignment="1" applyBorder="1" applyFont="1">
      <alignment horizontal="center" vertical="center"/>
    </xf>
    <xf borderId="45" fillId="0" fontId="3" numFmtId="0" xfId="0" applyBorder="1" applyFont="1"/>
    <xf borderId="46" fillId="0" fontId="9" numFmtId="0" xfId="0" applyAlignment="1" applyBorder="1" applyFont="1">
      <alignment horizontal="center" shrinkToFit="0" vertical="center" wrapText="1"/>
    </xf>
    <xf borderId="47" fillId="6" fontId="8" numFmtId="0" xfId="0" applyAlignment="1" applyBorder="1" applyFont="1">
      <alignment horizontal="center" shrinkToFit="0" vertical="center" wrapText="1"/>
    </xf>
    <xf borderId="47" fillId="6" fontId="8" numFmtId="0" xfId="0" applyAlignment="1" applyBorder="1" applyFont="1">
      <alignment horizontal="center" vertical="center"/>
    </xf>
    <xf borderId="47" fillId="10" fontId="8" numFmtId="0" xfId="0" applyAlignment="1" applyBorder="1" applyFont="1">
      <alignment horizontal="center" shrinkToFit="0" vertical="center" wrapText="1"/>
    </xf>
    <xf borderId="48" fillId="6" fontId="8" numFmtId="0" xfId="0" applyAlignment="1" applyBorder="1" applyFont="1">
      <alignment horizontal="center" shrinkToFit="0" vertical="center" wrapText="1"/>
    </xf>
    <xf borderId="49" fillId="6" fontId="8" numFmtId="0" xfId="0" applyAlignment="1" applyBorder="1" applyFont="1">
      <alignment horizontal="center" vertical="center"/>
    </xf>
    <xf borderId="48" fillId="6" fontId="8" numFmtId="0" xfId="0" applyAlignment="1" applyBorder="1" applyFont="1">
      <alignment horizontal="center" vertical="center"/>
    </xf>
    <xf borderId="50" fillId="0" fontId="3" numFmtId="0" xfId="0" applyBorder="1" applyFont="1"/>
    <xf borderId="1" fillId="18" fontId="8" numFmtId="0" xfId="0" applyAlignment="1" applyBorder="1" applyFont="1">
      <alignment horizontal="left" shrinkToFit="0" vertical="center" wrapText="1"/>
    </xf>
    <xf borderId="4" fillId="10" fontId="8" numFmtId="1" xfId="0" applyAlignment="1" applyBorder="1" applyFont="1" applyNumberFormat="1">
      <alignment horizontal="center" shrinkToFit="0" vertical="center" wrapText="1"/>
    </xf>
    <xf borderId="51" fillId="2" fontId="4" numFmtId="165" xfId="0" applyAlignment="1" applyBorder="1" applyFont="1" applyNumberFormat="1">
      <alignment vertical="center"/>
    </xf>
    <xf borderId="34" fillId="18" fontId="7" numFmtId="0" xfId="0" applyAlignment="1" applyBorder="1" applyFont="1">
      <alignment shrinkToFit="0" vertical="center" wrapText="1"/>
    </xf>
    <xf borderId="4" fillId="10" fontId="7" numFmtId="49" xfId="0" applyAlignment="1" applyBorder="1" applyFont="1" applyNumberFormat="1">
      <alignment horizontal="center" shrinkToFit="0" vertical="center" wrapText="1"/>
    </xf>
    <xf borderId="51" fillId="13" fontId="4" numFmtId="168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4" fillId="10" fontId="8" numFmtId="49" xfId="0" applyAlignment="1" applyBorder="1" applyFont="1" applyNumberFormat="1">
      <alignment horizontal="center" shrinkToFit="0" vertical="center" wrapText="1"/>
    </xf>
    <xf borderId="52" fillId="0" fontId="1" numFmtId="0" xfId="0" applyAlignment="1" applyBorder="1" applyFont="1">
      <alignment horizontal="center" vertical="center"/>
    </xf>
    <xf borderId="53" fillId="0" fontId="3" numFmtId="0" xfId="0" applyBorder="1" applyFont="1"/>
    <xf borderId="1" fillId="0" fontId="1" numFmtId="0" xfId="0" applyAlignment="1" applyBorder="1" applyFont="1">
      <alignment horizontal="center" vertical="center"/>
    </xf>
    <xf borderId="54" fillId="0" fontId="3" numFmtId="0" xfId="0" applyBorder="1" applyFont="1"/>
    <xf borderId="55" fillId="0" fontId="3" numFmtId="0" xfId="0" applyBorder="1" applyFont="1"/>
    <xf borderId="0" fillId="0" fontId="1" numFmtId="168" xfId="0" applyAlignment="1" applyFont="1" applyNumberFormat="1">
      <alignment vertical="center"/>
    </xf>
    <xf borderId="4" fillId="18" fontId="7" numFmtId="0" xfId="0" applyAlignment="1" applyBorder="1" applyFont="1">
      <alignment horizontal="left" shrinkToFit="0" vertical="center" wrapText="1"/>
    </xf>
    <xf borderId="4" fillId="18" fontId="7" numFmtId="164" xfId="0" applyAlignment="1" applyBorder="1" applyFont="1" applyNumberFormat="1">
      <alignment horizontal="left" vertical="center"/>
    </xf>
    <xf borderId="4" fillId="18" fontId="7" numFmtId="170" xfId="0" applyAlignment="1" applyBorder="1" applyFont="1" applyNumberFormat="1">
      <alignment horizontal="center" vertical="center"/>
    </xf>
    <xf borderId="51" fillId="13" fontId="4" numFmtId="165" xfId="0" applyAlignment="1" applyBorder="1" applyFont="1" applyNumberFormat="1">
      <alignment vertical="center"/>
    </xf>
    <xf borderId="34" fillId="18" fontId="7" numFmtId="0" xfId="0" applyAlignment="1" applyBorder="1" applyFont="1">
      <alignment horizontal="left" shrinkToFit="0" vertical="center" wrapText="1"/>
    </xf>
    <xf borderId="51" fillId="13" fontId="4" numFmtId="10" xfId="0" applyAlignment="1" applyBorder="1" applyFont="1" applyNumberFormat="1">
      <alignment vertical="center"/>
    </xf>
    <xf borderId="4" fillId="11" fontId="7" numFmtId="0" xfId="0" applyAlignment="1" applyBorder="1" applyFont="1">
      <alignment horizontal="left" shrinkToFit="0" vertical="center" wrapText="1"/>
    </xf>
    <xf borderId="1" fillId="18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51" fillId="18" fontId="18" numFmtId="165" xfId="0" applyAlignment="1" applyBorder="1" applyFont="1" applyNumberFormat="1">
      <alignment vertical="center"/>
    </xf>
    <xf borderId="52" fillId="0" fontId="8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5" fillId="18" fontId="7" numFmtId="0" xfId="0" applyAlignment="1" applyBorder="1" applyFont="1">
      <alignment horizontal="left" shrinkToFit="0" vertical="center" wrapText="1"/>
    </xf>
    <xf borderId="10" fillId="10" fontId="7" numFmtId="0" xfId="0" applyAlignment="1" applyBorder="1" applyFont="1">
      <alignment horizontal="center" shrinkToFit="0" vertical="center" wrapText="1"/>
    </xf>
    <xf borderId="56" fillId="13" fontId="4" numFmtId="165" xfId="0" applyAlignment="1" applyBorder="1" applyFont="1" applyNumberFormat="1">
      <alignment horizontal="center" vertical="center"/>
    </xf>
    <xf borderId="57" fillId="0" fontId="3" numFmtId="0" xfId="0" applyBorder="1" applyFont="1"/>
    <xf borderId="54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shrinkToFit="0" vertical="center" wrapText="1"/>
    </xf>
    <xf borderId="55" fillId="0" fontId="8" numFmtId="0" xfId="0" applyAlignment="1" applyBorder="1" applyFont="1">
      <alignment shrinkToFit="0" vertical="center" wrapText="1"/>
    </xf>
    <xf borderId="5" fillId="18" fontId="8" numFmtId="0" xfId="0" applyAlignment="1" applyBorder="1" applyFont="1">
      <alignment horizontal="left" vertical="center"/>
    </xf>
    <xf borderId="10" fillId="10" fontId="8" numFmtId="0" xfId="0" applyAlignment="1" applyBorder="1" applyFont="1">
      <alignment horizontal="center" vertical="center"/>
    </xf>
    <xf borderId="51" fillId="13" fontId="4" numFmtId="10" xfId="0" applyAlignment="1" applyBorder="1" applyFont="1" applyNumberFormat="1">
      <alignment horizontal="right" vertical="center"/>
    </xf>
    <xf borderId="58" fillId="0" fontId="3" numFmtId="0" xfId="0" applyBorder="1" applyFont="1"/>
    <xf borderId="51" fillId="13" fontId="4" numFmtId="168" xfId="0" applyAlignment="1" applyBorder="1" applyFont="1" applyNumberFormat="1">
      <alignment horizontal="right" vertical="center"/>
    </xf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35" fillId="18" fontId="7" numFmtId="0" xfId="0" applyAlignment="1" applyBorder="1" applyFont="1">
      <alignment shrinkToFit="0" vertical="center" wrapText="1"/>
    </xf>
    <xf borderId="36" fillId="10" fontId="7" numFmtId="49" xfId="0" applyAlignment="1" applyBorder="1" applyFont="1" applyNumberFormat="1">
      <alignment horizontal="center" shrinkToFit="0" vertical="center" wrapText="1"/>
    </xf>
    <xf borderId="37" fillId="13" fontId="4" numFmtId="168" xfId="0" applyAlignment="1" applyBorder="1" applyFont="1" applyNumberFormat="1">
      <alignment horizontal="right"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6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52" fillId="0" fontId="7" numFmtId="0" xfId="0" applyAlignment="1" applyBorder="1" applyFont="1">
      <alignment horizontal="center" shrinkToFit="0" vertical="center" wrapText="1"/>
    </xf>
    <xf borderId="54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55" fillId="0" fontId="7" numFmtId="0" xfId="0" applyAlignment="1" applyBorder="1" applyFont="1">
      <alignment shrinkToFit="0" vertical="center" wrapText="1"/>
    </xf>
    <xf borderId="65" fillId="18" fontId="8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48" fillId="18" fontId="8" numFmtId="0" xfId="0" applyAlignment="1" applyBorder="1" applyFont="1">
      <alignment horizontal="center" shrinkToFit="0" vertical="center" wrapText="1"/>
    </xf>
    <xf borderId="51" fillId="13" fontId="4" numFmtId="2" xfId="0" applyAlignment="1" applyBorder="1" applyFont="1" applyNumberForma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4" numFmtId="165" xfId="0" applyAlignment="1" applyFont="1" applyNumberFormat="1">
      <alignment vertical="center"/>
    </xf>
    <xf borderId="0" fillId="0" fontId="7" numFmtId="49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horizontal="right" vertical="center"/>
    </xf>
    <xf borderId="18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6696075" cy="5915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56</xdr:row>
      <xdr:rowOff>0</xdr:rowOff>
    </xdr:from>
    <xdr:ext cx="6657975" cy="5038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29</xdr:row>
      <xdr:rowOff>114300</xdr:rowOff>
    </xdr:from>
    <xdr:ext cx="7258050" cy="5400675"/>
    <xdr:pic>
      <xdr:nvPicPr>
        <xdr:cNvPr descr="3PT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0</xdr:rowOff>
    </xdr:from>
    <xdr:ext cx="6829425" cy="6477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32</xdr:row>
      <xdr:rowOff>76200</xdr:rowOff>
    </xdr:from>
    <xdr:ext cx="6838950" cy="36385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50</xdr:row>
      <xdr:rowOff>123825</xdr:rowOff>
    </xdr:from>
    <xdr:ext cx="6819900" cy="68389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85</xdr:row>
      <xdr:rowOff>0</xdr:rowOff>
    </xdr:from>
    <xdr:ext cx="6810375" cy="31146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scale="6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hidden="1" min="1" max="1" width="4.57"/>
    <col customWidth="1" hidden="1" min="2" max="2" width="6.14"/>
    <col customWidth="1" hidden="1" min="3" max="3" width="7.71"/>
    <col customWidth="1" hidden="1" min="4" max="4" width="6.71"/>
    <col customWidth="1" min="5" max="5" width="5.29"/>
    <col customWidth="1" min="6" max="6" width="9.71"/>
    <col customWidth="1" min="7" max="7" width="10.14"/>
    <col customWidth="1" min="8" max="8" width="9.86"/>
    <col customWidth="1" min="9" max="9" width="11.29"/>
    <col customWidth="1" min="10" max="11" width="9.86"/>
    <col customWidth="1" min="12" max="12" width="11.29"/>
    <col customWidth="1" min="13" max="13" width="9.86"/>
    <col customWidth="1" min="14" max="14" width="14.71"/>
    <col customWidth="1" min="15" max="15" width="13.14"/>
    <col customWidth="1" min="16" max="18" width="9.86"/>
    <col customWidth="1" min="19" max="26" width="9.14"/>
  </cols>
  <sheetData>
    <row r="1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3"/>
      <c r="B2" s="3"/>
      <c r="C2" s="3"/>
      <c r="D2" s="3"/>
      <c r="E2" s="4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3"/>
      <c r="T2" s="3"/>
      <c r="U2" s="3"/>
      <c r="V2" s="3"/>
      <c r="W2" s="3"/>
      <c r="X2" s="3"/>
      <c r="Y2" s="3"/>
      <c r="Z2" s="3"/>
    </row>
    <row r="3" ht="33.0" customHeight="1">
      <c r="A3" s="3"/>
      <c r="B3" s="3"/>
      <c r="C3" s="3"/>
      <c r="D3" s="3"/>
      <c r="E3" s="7" t="s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8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1"/>
      <c r="D5" s="1"/>
      <c r="E5" s="9" t="s">
        <v>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3"/>
      <c r="E6" s="8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"/>
      <c r="B7" s="1"/>
      <c r="C7" s="1"/>
      <c r="D7" s="1"/>
      <c r="E7" s="10" t="s">
        <v>3</v>
      </c>
      <c r="F7" s="5"/>
      <c r="G7" s="5"/>
      <c r="H7" s="5"/>
      <c r="I7" s="5"/>
      <c r="J7" s="5"/>
      <c r="K7" s="5"/>
      <c r="L7" s="5"/>
      <c r="M7" s="5"/>
      <c r="N7" s="6"/>
      <c r="O7" s="10" t="s">
        <v>4</v>
      </c>
      <c r="P7" s="5"/>
      <c r="Q7" s="5"/>
      <c r="R7" s="6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1" t="s">
        <v>5</v>
      </c>
      <c r="F8" s="5"/>
      <c r="G8" s="5"/>
      <c r="H8" s="6"/>
      <c r="I8" s="12">
        <v>22373.0</v>
      </c>
      <c r="J8" s="13" t="s">
        <v>6</v>
      </c>
      <c r="K8" s="14" t="s">
        <v>7</v>
      </c>
      <c r="L8" s="5"/>
      <c r="M8" s="5"/>
      <c r="N8" s="6"/>
      <c r="O8" s="15" t="s">
        <v>8</v>
      </c>
      <c r="P8" s="16"/>
      <c r="Q8" s="16"/>
      <c r="R8" s="17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1" t="s">
        <v>9</v>
      </c>
      <c r="F9" s="5"/>
      <c r="G9" s="5"/>
      <c r="H9" s="6"/>
      <c r="I9" s="12">
        <v>29221.0</v>
      </c>
      <c r="J9" s="18" t="s">
        <v>10</v>
      </c>
      <c r="K9" s="5"/>
      <c r="L9" s="5"/>
      <c r="M9" s="6"/>
      <c r="N9" s="19">
        <v>0.0</v>
      </c>
      <c r="O9" s="20"/>
      <c r="R9" s="2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1" t="s">
        <v>11</v>
      </c>
      <c r="F10" s="5"/>
      <c r="G10" s="5"/>
      <c r="H10" s="6"/>
      <c r="I10" s="12">
        <v>43586.0</v>
      </c>
      <c r="J10" s="22" t="s">
        <v>12</v>
      </c>
      <c r="K10" s="17"/>
      <c r="L10" s="23">
        <v>44287.0</v>
      </c>
      <c r="M10" s="24" t="s">
        <v>13</v>
      </c>
      <c r="N10" s="25">
        <v>39.0</v>
      </c>
      <c r="O10" s="26"/>
      <c r="P10" s="27"/>
      <c r="Q10" s="27"/>
      <c r="R10" s="28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1" t="s">
        <v>14</v>
      </c>
      <c r="F11" s="5"/>
      <c r="G11" s="5"/>
      <c r="H11" s="6"/>
      <c r="I11" s="12">
        <v>43586.0</v>
      </c>
      <c r="J11" s="26"/>
      <c r="K11" s="28"/>
      <c r="L11" s="29"/>
      <c r="M11" s="30"/>
      <c r="N11" s="29"/>
      <c r="O11" s="31">
        <v>43586.0</v>
      </c>
      <c r="P11" s="5"/>
      <c r="Q11" s="5"/>
      <c r="R11" s="6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2"/>
      <c r="B13" s="32"/>
      <c r="C13" s="32"/>
      <c r="D13" s="32"/>
      <c r="E13" s="33" t="s">
        <v>15</v>
      </c>
      <c r="F13" s="34" t="s">
        <v>16</v>
      </c>
      <c r="G13" s="35" t="s">
        <v>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  <c r="S13" s="32"/>
      <c r="T13" s="32"/>
      <c r="U13" s="32"/>
      <c r="V13" s="32"/>
      <c r="W13" s="32"/>
      <c r="X13" s="32"/>
      <c r="Y13" s="32"/>
      <c r="Z13" s="32"/>
    </row>
    <row r="14" ht="35.25" customHeight="1">
      <c r="A14" s="1"/>
      <c r="B14" s="1"/>
      <c r="C14" s="1"/>
      <c r="D14" s="1"/>
      <c r="E14" s="29"/>
      <c r="F14" s="29"/>
      <c r="G14" s="36" t="s">
        <v>18</v>
      </c>
      <c r="H14" s="5"/>
      <c r="I14" s="5"/>
      <c r="J14" s="5"/>
      <c r="K14" s="5"/>
      <c r="L14" s="5"/>
      <c r="M14" s="5"/>
      <c r="N14" s="37"/>
      <c r="O14" s="38" t="s">
        <v>19</v>
      </c>
      <c r="P14" s="39"/>
      <c r="Q14" s="39"/>
      <c r="R14" s="39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40">
        <v>1.0</v>
      </c>
      <c r="F15" s="40" t="s">
        <v>20</v>
      </c>
      <c r="G15" s="41">
        <v>34790.0</v>
      </c>
      <c r="H15" s="41">
        <v>34820.0</v>
      </c>
      <c r="I15" s="41">
        <v>34851.0</v>
      </c>
      <c r="J15" s="41">
        <v>34881.0</v>
      </c>
      <c r="K15" s="41">
        <v>34912.0</v>
      </c>
      <c r="L15" s="41">
        <v>34943.0</v>
      </c>
      <c r="M15" s="41">
        <v>34973.0</v>
      </c>
      <c r="N15" s="41">
        <v>35004.0</v>
      </c>
      <c r="O15" s="41">
        <v>35034.0</v>
      </c>
      <c r="P15" s="41">
        <v>35065.0</v>
      </c>
      <c r="Q15" s="41">
        <v>35096.0</v>
      </c>
      <c r="R15" s="41">
        <v>35125.0</v>
      </c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29"/>
      <c r="F16" s="29"/>
      <c r="G16" s="42" t="s">
        <v>21</v>
      </c>
      <c r="H16" s="5"/>
      <c r="I16" s="5"/>
      <c r="J16" s="5"/>
      <c r="K16" s="5"/>
      <c r="L16" s="5"/>
      <c r="M16" s="6"/>
      <c r="N16" s="43"/>
      <c r="O16" s="44"/>
      <c r="P16" s="44"/>
      <c r="Q16" s="44"/>
      <c r="R16" s="44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40">
        <v>2.0</v>
      </c>
      <c r="F17" s="40" t="s">
        <v>22</v>
      </c>
      <c r="G17" s="41">
        <v>35156.0</v>
      </c>
      <c r="H17" s="41">
        <v>35186.0</v>
      </c>
      <c r="I17" s="41">
        <v>35217.0</v>
      </c>
      <c r="J17" s="41">
        <v>35247.0</v>
      </c>
      <c r="K17" s="41">
        <v>35278.0</v>
      </c>
      <c r="L17" s="41">
        <v>35309.0</v>
      </c>
      <c r="M17" s="41">
        <v>35339.0</v>
      </c>
      <c r="N17" s="41">
        <v>35370.0</v>
      </c>
      <c r="O17" s="41">
        <v>35400.0</v>
      </c>
      <c r="P17" s="41">
        <v>35431.0</v>
      </c>
      <c r="Q17" s="41">
        <v>35462.0</v>
      </c>
      <c r="R17" s="41">
        <v>35490.0</v>
      </c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29"/>
      <c r="F18" s="29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40">
        <v>3.0</v>
      </c>
      <c r="F19" s="40" t="s">
        <v>23</v>
      </c>
      <c r="G19" s="41">
        <v>35521.0</v>
      </c>
      <c r="H19" s="41">
        <v>35551.0</v>
      </c>
      <c r="I19" s="41">
        <v>35582.0</v>
      </c>
      <c r="J19" s="41">
        <v>35612.0</v>
      </c>
      <c r="K19" s="41">
        <v>35643.0</v>
      </c>
      <c r="L19" s="41">
        <v>35674.0</v>
      </c>
      <c r="M19" s="41">
        <v>35704.0</v>
      </c>
      <c r="N19" s="41">
        <v>35735.0</v>
      </c>
      <c r="O19" s="41">
        <v>35765.0</v>
      </c>
      <c r="P19" s="41">
        <v>35796.0</v>
      </c>
      <c r="Q19" s="41">
        <v>35827.0</v>
      </c>
      <c r="R19" s="41">
        <v>35855.0</v>
      </c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29"/>
      <c r="F20" s="29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40">
        <v>4.0</v>
      </c>
      <c r="F21" s="40" t="s">
        <v>24</v>
      </c>
      <c r="G21" s="41">
        <v>35886.0</v>
      </c>
      <c r="H21" s="41">
        <v>35916.0</v>
      </c>
      <c r="I21" s="41">
        <v>35947.0</v>
      </c>
      <c r="J21" s="41">
        <v>35977.0</v>
      </c>
      <c r="K21" s="41">
        <v>36008.0</v>
      </c>
      <c r="L21" s="41">
        <v>36039.0</v>
      </c>
      <c r="M21" s="41">
        <v>36069.0</v>
      </c>
      <c r="N21" s="41">
        <v>36100.0</v>
      </c>
      <c r="O21" s="41">
        <v>36130.0</v>
      </c>
      <c r="P21" s="41">
        <v>36161.0</v>
      </c>
      <c r="Q21" s="41">
        <v>36192.0</v>
      </c>
      <c r="R21" s="41">
        <v>36220.0</v>
      </c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29"/>
      <c r="F22" s="29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40">
        <v>5.0</v>
      </c>
      <c r="F23" s="40" t="s">
        <v>25</v>
      </c>
      <c r="G23" s="41">
        <v>36251.0</v>
      </c>
      <c r="H23" s="41">
        <v>36281.0</v>
      </c>
      <c r="I23" s="41">
        <v>36312.0</v>
      </c>
      <c r="J23" s="41">
        <v>36342.0</v>
      </c>
      <c r="K23" s="41">
        <v>36373.0</v>
      </c>
      <c r="L23" s="41">
        <v>36404.0</v>
      </c>
      <c r="M23" s="41">
        <v>36434.0</v>
      </c>
      <c r="N23" s="41">
        <v>36465.0</v>
      </c>
      <c r="O23" s="41">
        <v>36495.0</v>
      </c>
      <c r="P23" s="41">
        <v>36526.0</v>
      </c>
      <c r="Q23" s="41">
        <v>36557.0</v>
      </c>
      <c r="R23" s="41">
        <v>36586.0</v>
      </c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29"/>
      <c r="F24" s="29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40">
        <v>6.0</v>
      </c>
      <c r="F25" s="40" t="s">
        <v>26</v>
      </c>
      <c r="G25" s="41">
        <v>36617.0</v>
      </c>
      <c r="H25" s="41">
        <v>36647.0</v>
      </c>
      <c r="I25" s="41">
        <v>36678.0</v>
      </c>
      <c r="J25" s="41">
        <v>36708.0</v>
      </c>
      <c r="K25" s="41">
        <v>36739.0</v>
      </c>
      <c r="L25" s="41">
        <v>36770.0</v>
      </c>
      <c r="M25" s="41">
        <v>36800.0</v>
      </c>
      <c r="N25" s="41">
        <v>36831.0</v>
      </c>
      <c r="O25" s="41">
        <v>36861.0</v>
      </c>
      <c r="P25" s="41">
        <v>36892.0</v>
      </c>
      <c r="Q25" s="41">
        <v>36923.0</v>
      </c>
      <c r="R25" s="41">
        <v>36951.0</v>
      </c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29"/>
      <c r="F26" s="29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40">
        <v>7.0</v>
      </c>
      <c r="F27" s="40" t="s">
        <v>27</v>
      </c>
      <c r="G27" s="41">
        <v>36982.0</v>
      </c>
      <c r="H27" s="41">
        <v>37012.0</v>
      </c>
      <c r="I27" s="46">
        <v>37043.0</v>
      </c>
      <c r="J27" s="41">
        <v>37073.0</v>
      </c>
      <c r="K27" s="41">
        <v>37104.0</v>
      </c>
      <c r="L27" s="41">
        <v>37135.0</v>
      </c>
      <c r="M27" s="41">
        <v>37165.0</v>
      </c>
      <c r="N27" s="41">
        <v>37196.0</v>
      </c>
      <c r="O27" s="41">
        <v>37226.0</v>
      </c>
      <c r="P27" s="41">
        <v>37257.0</v>
      </c>
      <c r="Q27" s="41">
        <v>37288.0</v>
      </c>
      <c r="R27" s="41">
        <v>37316.0</v>
      </c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29"/>
      <c r="F28" s="29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40">
        <v>8.0</v>
      </c>
      <c r="F29" s="40" t="s">
        <v>28</v>
      </c>
      <c r="G29" s="41">
        <v>37347.0</v>
      </c>
      <c r="H29" s="41">
        <v>37377.0</v>
      </c>
      <c r="I29" s="41">
        <v>37408.0</v>
      </c>
      <c r="J29" s="41">
        <v>37438.0</v>
      </c>
      <c r="K29" s="41">
        <v>37469.0</v>
      </c>
      <c r="L29" s="41">
        <v>37500.0</v>
      </c>
      <c r="M29" s="41">
        <v>37530.0</v>
      </c>
      <c r="N29" s="41">
        <v>37561.0</v>
      </c>
      <c r="O29" s="41">
        <v>37591.0</v>
      </c>
      <c r="P29" s="41">
        <v>37622.0</v>
      </c>
      <c r="Q29" s="41">
        <v>37653.0</v>
      </c>
      <c r="R29" s="41">
        <v>37681.0</v>
      </c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29"/>
      <c r="F30" s="29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40">
        <v>9.0</v>
      </c>
      <c r="F31" s="40" t="s">
        <v>29</v>
      </c>
      <c r="G31" s="41">
        <v>37712.0</v>
      </c>
      <c r="H31" s="41">
        <v>37742.0</v>
      </c>
      <c r="I31" s="41">
        <v>37773.0</v>
      </c>
      <c r="J31" s="41">
        <v>37803.0</v>
      </c>
      <c r="K31" s="41">
        <v>37834.0</v>
      </c>
      <c r="L31" s="41">
        <v>37865.0</v>
      </c>
      <c r="M31" s="41">
        <v>37895.0</v>
      </c>
      <c r="N31" s="41">
        <v>37926.0</v>
      </c>
      <c r="O31" s="41">
        <v>37956.0</v>
      </c>
      <c r="P31" s="41">
        <v>37987.0</v>
      </c>
      <c r="Q31" s="41">
        <v>38018.0</v>
      </c>
      <c r="R31" s="41">
        <v>38047.0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29"/>
      <c r="F32" s="29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40">
        <v>10.0</v>
      </c>
      <c r="F33" s="40" t="s">
        <v>30</v>
      </c>
      <c r="G33" s="41">
        <v>38078.0</v>
      </c>
      <c r="H33" s="41">
        <v>38108.0</v>
      </c>
      <c r="I33" s="41">
        <v>38139.0</v>
      </c>
      <c r="J33" s="41">
        <v>38169.0</v>
      </c>
      <c r="K33" s="41">
        <v>38200.0</v>
      </c>
      <c r="L33" s="41">
        <v>38231.0</v>
      </c>
      <c r="M33" s="41">
        <v>38261.0</v>
      </c>
      <c r="N33" s="41">
        <v>38292.0</v>
      </c>
      <c r="O33" s="41">
        <v>38322.0</v>
      </c>
      <c r="P33" s="41">
        <v>38353.0</v>
      </c>
      <c r="Q33" s="41">
        <v>38384.0</v>
      </c>
      <c r="R33" s="41">
        <v>38412.0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29"/>
      <c r="F34" s="29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40">
        <v>11.0</v>
      </c>
      <c r="F35" s="40" t="s">
        <v>31</v>
      </c>
      <c r="G35" s="41">
        <v>38443.0</v>
      </c>
      <c r="H35" s="41">
        <v>38473.0</v>
      </c>
      <c r="I35" s="41">
        <v>38504.0</v>
      </c>
      <c r="J35" s="41">
        <v>38534.0</v>
      </c>
      <c r="K35" s="41">
        <v>38565.0</v>
      </c>
      <c r="L35" s="41">
        <v>38596.0</v>
      </c>
      <c r="M35" s="41">
        <v>38626.0</v>
      </c>
      <c r="N35" s="41">
        <v>38657.0</v>
      </c>
      <c r="O35" s="41">
        <v>38687.0</v>
      </c>
      <c r="P35" s="41">
        <v>38718.0</v>
      </c>
      <c r="Q35" s="41">
        <v>38749.0</v>
      </c>
      <c r="R35" s="41">
        <v>38777.0</v>
      </c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29"/>
      <c r="F36" s="29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40">
        <v>12.0</v>
      </c>
      <c r="F37" s="40" t="s">
        <v>32</v>
      </c>
      <c r="G37" s="41">
        <v>38808.0</v>
      </c>
      <c r="H37" s="41">
        <v>38838.0</v>
      </c>
      <c r="I37" s="41">
        <v>38869.0</v>
      </c>
      <c r="J37" s="41">
        <v>38899.0</v>
      </c>
      <c r="K37" s="41">
        <v>38930.0</v>
      </c>
      <c r="L37" s="41">
        <v>38961.0</v>
      </c>
      <c r="M37" s="41">
        <v>38991.0</v>
      </c>
      <c r="N37" s="41">
        <v>39022.0</v>
      </c>
      <c r="O37" s="41">
        <v>39052.0</v>
      </c>
      <c r="P37" s="41">
        <v>39083.0</v>
      </c>
      <c r="Q37" s="41">
        <v>39114.0</v>
      </c>
      <c r="R37" s="41">
        <v>39142.0</v>
      </c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29"/>
      <c r="F38" s="29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40">
        <v>13.0</v>
      </c>
      <c r="F39" s="40" t="s">
        <v>33</v>
      </c>
      <c r="G39" s="41">
        <v>39173.0</v>
      </c>
      <c r="H39" s="41">
        <v>39203.0</v>
      </c>
      <c r="I39" s="41">
        <v>39234.0</v>
      </c>
      <c r="J39" s="41">
        <v>39264.0</v>
      </c>
      <c r="K39" s="41">
        <v>39295.0</v>
      </c>
      <c r="L39" s="41">
        <v>39326.0</v>
      </c>
      <c r="M39" s="41">
        <v>39356.0</v>
      </c>
      <c r="N39" s="41">
        <v>39387.0</v>
      </c>
      <c r="O39" s="41">
        <v>39417.0</v>
      </c>
      <c r="P39" s="41">
        <v>39448.0</v>
      </c>
      <c r="Q39" s="41">
        <v>39479.0</v>
      </c>
      <c r="R39" s="41">
        <v>39508.0</v>
      </c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29"/>
      <c r="F40" s="29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40">
        <v>14.0</v>
      </c>
      <c r="F41" s="40" t="s">
        <v>34</v>
      </c>
      <c r="G41" s="41">
        <v>39539.0</v>
      </c>
      <c r="H41" s="41">
        <v>39569.0</v>
      </c>
      <c r="I41" s="41">
        <v>39600.0</v>
      </c>
      <c r="J41" s="41">
        <v>39630.0</v>
      </c>
      <c r="K41" s="41">
        <v>39661.0</v>
      </c>
      <c r="L41" s="41">
        <v>39692.0</v>
      </c>
      <c r="M41" s="41">
        <v>39722.0</v>
      </c>
      <c r="N41" s="41">
        <v>39753.0</v>
      </c>
      <c r="O41" s="41">
        <v>39783.0</v>
      </c>
      <c r="P41" s="41">
        <v>39814.0</v>
      </c>
      <c r="Q41" s="41">
        <v>39845.0</v>
      </c>
      <c r="R41" s="41">
        <v>39873.0</v>
      </c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29"/>
      <c r="F42" s="29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7">
        <v>174178.0</v>
      </c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40">
        <v>15.0</v>
      </c>
      <c r="F43" s="40" t="s">
        <v>35</v>
      </c>
      <c r="G43" s="41">
        <v>39904.0</v>
      </c>
      <c r="H43" s="41">
        <v>39934.0</v>
      </c>
      <c r="I43" s="41">
        <v>39965.0</v>
      </c>
      <c r="J43" s="41">
        <v>39995.0</v>
      </c>
      <c r="K43" s="41">
        <v>40026.0</v>
      </c>
      <c r="L43" s="41">
        <v>40057.0</v>
      </c>
      <c r="M43" s="41">
        <v>40087.0</v>
      </c>
      <c r="N43" s="41">
        <v>40118.0</v>
      </c>
      <c r="O43" s="41">
        <v>40148.0</v>
      </c>
      <c r="P43" s="41">
        <v>40179.0</v>
      </c>
      <c r="Q43" s="41">
        <v>40210.0</v>
      </c>
      <c r="R43" s="41">
        <v>40238.0</v>
      </c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29"/>
      <c r="F44" s="29"/>
      <c r="G44" s="47">
        <v>28963.0</v>
      </c>
      <c r="H44" s="47">
        <v>28963.0</v>
      </c>
      <c r="I44" s="47">
        <v>31813.0</v>
      </c>
      <c r="J44" s="47">
        <v>29841.0</v>
      </c>
      <c r="K44" s="47">
        <v>29841.0</v>
      </c>
      <c r="L44" s="47">
        <v>29841.0</v>
      </c>
      <c r="M44" s="47">
        <v>31064.0</v>
      </c>
      <c r="N44" s="47">
        <v>31064.0</v>
      </c>
      <c r="O44" s="47">
        <v>34721.0</v>
      </c>
      <c r="P44" s="47">
        <v>31052.0</v>
      </c>
      <c r="Q44" s="47">
        <v>31052.0</v>
      </c>
      <c r="R44" s="47">
        <v>31052.0</v>
      </c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40">
        <v>16.0</v>
      </c>
      <c r="F45" s="40" t="s">
        <v>36</v>
      </c>
      <c r="G45" s="41">
        <v>40269.0</v>
      </c>
      <c r="H45" s="41">
        <v>40299.0</v>
      </c>
      <c r="I45" s="41">
        <v>40330.0</v>
      </c>
      <c r="J45" s="41">
        <v>40360.0</v>
      </c>
      <c r="K45" s="41">
        <v>40391.0</v>
      </c>
      <c r="L45" s="41">
        <v>40422.0</v>
      </c>
      <c r="M45" s="41">
        <v>40452.0</v>
      </c>
      <c r="N45" s="41">
        <v>40483.0</v>
      </c>
      <c r="O45" s="41">
        <v>40513.0</v>
      </c>
      <c r="P45" s="41">
        <v>40544.0</v>
      </c>
      <c r="Q45" s="41">
        <v>40575.0</v>
      </c>
      <c r="R45" s="41">
        <v>40603.0</v>
      </c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29"/>
      <c r="F46" s="29"/>
      <c r="G46" s="47">
        <v>38876.0</v>
      </c>
      <c r="H46" s="47">
        <v>33008.0</v>
      </c>
      <c r="I46" s="47">
        <v>33008.0</v>
      </c>
      <c r="J46" s="47">
        <v>33008.0</v>
      </c>
      <c r="K46" s="47">
        <v>33008.0</v>
      </c>
      <c r="L46" s="47">
        <v>35774.0</v>
      </c>
      <c r="M46" s="47">
        <v>41488.0</v>
      </c>
      <c r="N46" s="47">
        <v>36598.0</v>
      </c>
      <c r="O46" s="47">
        <v>36598.0</v>
      </c>
      <c r="P46" s="47">
        <v>36598.0</v>
      </c>
      <c r="Q46" s="47">
        <v>36598.0</v>
      </c>
      <c r="R46" s="47">
        <v>54870.0</v>
      </c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40">
        <v>17.0</v>
      </c>
      <c r="F47" s="40" t="s">
        <v>37</v>
      </c>
      <c r="G47" s="41">
        <v>40634.0</v>
      </c>
      <c r="H47" s="41">
        <v>40664.0</v>
      </c>
      <c r="I47" s="41">
        <v>40695.0</v>
      </c>
      <c r="J47" s="41">
        <v>40725.0</v>
      </c>
      <c r="K47" s="41">
        <v>40756.0</v>
      </c>
      <c r="L47" s="41">
        <v>40787.0</v>
      </c>
      <c r="M47" s="41">
        <v>40817.0</v>
      </c>
      <c r="N47" s="41">
        <v>40848.0</v>
      </c>
      <c r="O47" s="41">
        <v>40878.0</v>
      </c>
      <c r="P47" s="41">
        <v>40909.0</v>
      </c>
      <c r="Q47" s="41">
        <v>40940.0</v>
      </c>
      <c r="R47" s="41">
        <v>40969.0</v>
      </c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29"/>
      <c r="F48" s="29"/>
      <c r="G48" s="47">
        <v>41140.0</v>
      </c>
      <c r="H48" s="47">
        <v>38112.0</v>
      </c>
      <c r="I48" s="47">
        <v>38112.0</v>
      </c>
      <c r="J48" s="47">
        <v>39260.0</v>
      </c>
      <c r="K48" s="47">
        <v>39260.0</v>
      </c>
      <c r="L48" s="47">
        <v>39260.0</v>
      </c>
      <c r="M48" s="47">
        <v>41080.0</v>
      </c>
      <c r="N48" s="47">
        <v>41080.0</v>
      </c>
      <c r="O48" s="47">
        <v>46540.0</v>
      </c>
      <c r="P48" s="47">
        <v>41080.0</v>
      </c>
      <c r="Q48" s="47">
        <v>41080.0</v>
      </c>
      <c r="R48" s="47">
        <v>41080.0</v>
      </c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40">
        <v>18.0</v>
      </c>
      <c r="F49" s="40" t="s">
        <v>38</v>
      </c>
      <c r="G49" s="41">
        <v>41000.0</v>
      </c>
      <c r="H49" s="41">
        <v>41030.0</v>
      </c>
      <c r="I49" s="41">
        <v>41061.0</v>
      </c>
      <c r="J49" s="41">
        <v>41091.0</v>
      </c>
      <c r="K49" s="41">
        <v>41122.0</v>
      </c>
      <c r="L49" s="41">
        <v>41153.0</v>
      </c>
      <c r="M49" s="41">
        <v>41183.0</v>
      </c>
      <c r="N49" s="41">
        <v>41214.0</v>
      </c>
      <c r="O49" s="41">
        <v>41244.0</v>
      </c>
      <c r="P49" s="41">
        <v>41275.0</v>
      </c>
      <c r="Q49" s="41">
        <v>41306.0</v>
      </c>
      <c r="R49" s="41">
        <v>41334.0</v>
      </c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29"/>
      <c r="F50" s="29"/>
      <c r="G50" s="47">
        <v>42900.0</v>
      </c>
      <c r="H50" s="47">
        <v>42900.0</v>
      </c>
      <c r="I50" s="45">
        <f>5460+42900</f>
        <v>48360</v>
      </c>
      <c r="J50" s="47">
        <v>44187.0</v>
      </c>
      <c r="K50" s="47">
        <v>44187.0</v>
      </c>
      <c r="L50" s="47">
        <v>44187.0</v>
      </c>
      <c r="M50" s="47">
        <v>46062.0</v>
      </c>
      <c r="N50" s="45">
        <f>46062+5625</f>
        <v>51687</v>
      </c>
      <c r="O50" s="47">
        <v>46062.0</v>
      </c>
      <c r="P50" s="47">
        <v>46062.0</v>
      </c>
      <c r="Q50" s="47">
        <v>46062.0</v>
      </c>
      <c r="R50" s="47">
        <v>46062.0</v>
      </c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40">
        <v>19.0</v>
      </c>
      <c r="F51" s="40" t="s">
        <v>39</v>
      </c>
      <c r="G51" s="41">
        <v>41365.0</v>
      </c>
      <c r="H51" s="41">
        <v>41395.0</v>
      </c>
      <c r="I51" s="41">
        <v>41426.0</v>
      </c>
      <c r="J51" s="41">
        <v>41456.0</v>
      </c>
      <c r="K51" s="41">
        <v>41487.0</v>
      </c>
      <c r="L51" s="41">
        <v>41518.0</v>
      </c>
      <c r="M51" s="41">
        <v>41548.0</v>
      </c>
      <c r="N51" s="41">
        <v>41579.0</v>
      </c>
      <c r="O51" s="41">
        <v>41609.0</v>
      </c>
      <c r="P51" s="41">
        <v>41640.0</v>
      </c>
      <c r="Q51" s="41">
        <v>41671.0</v>
      </c>
      <c r="R51" s="41">
        <v>41699.0</v>
      </c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29"/>
      <c r="F52" s="29"/>
      <c r="G52" s="47">
        <v>46062.0</v>
      </c>
      <c r="H52" s="47">
        <f>48204+8568</f>
        <v>56772</v>
      </c>
      <c r="I52" s="47">
        <v>48204.0</v>
      </c>
      <c r="J52" s="47">
        <v>49662.0</v>
      </c>
      <c r="K52" s="47">
        <v>49662.0</v>
      </c>
      <c r="L52" s="45">
        <f>52421+5518</f>
        <v>57939</v>
      </c>
      <c r="M52" s="47">
        <v>52421.0</v>
      </c>
      <c r="N52" s="47">
        <v>52421.0</v>
      </c>
      <c r="O52" s="47">
        <v>52421.0</v>
      </c>
      <c r="P52" s="47">
        <v>52421.0</v>
      </c>
      <c r="Q52" s="47">
        <v>52421.0</v>
      </c>
      <c r="R52" s="47">
        <v>52421.0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40">
        <v>20.0</v>
      </c>
      <c r="F53" s="40" t="s">
        <v>40</v>
      </c>
      <c r="G53" s="41">
        <v>41730.0</v>
      </c>
      <c r="H53" s="41">
        <v>41760.0</v>
      </c>
      <c r="I53" s="41">
        <v>41791.0</v>
      </c>
      <c r="J53" s="41">
        <v>41821.0</v>
      </c>
      <c r="K53" s="41">
        <v>41852.0</v>
      </c>
      <c r="L53" s="41">
        <v>41883.0</v>
      </c>
      <c r="M53" s="46">
        <v>41913.0</v>
      </c>
      <c r="N53" s="41">
        <v>41944.0</v>
      </c>
      <c r="O53" s="41">
        <v>41974.0</v>
      </c>
      <c r="P53" s="41">
        <v>42005.0</v>
      </c>
      <c r="Q53" s="41">
        <v>42036.0</v>
      </c>
      <c r="R53" s="41">
        <v>42064.0</v>
      </c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29"/>
      <c r="F54" s="29"/>
      <c r="G54" s="45">
        <f>8277+55180</f>
        <v>63457</v>
      </c>
      <c r="H54" s="47">
        <v>55180.0</v>
      </c>
      <c r="I54" s="47">
        <v>55180.0</v>
      </c>
      <c r="J54" s="47">
        <v>56840.0</v>
      </c>
      <c r="K54" s="47">
        <v>56840.0</v>
      </c>
      <c r="L54" s="47">
        <v>58829.0</v>
      </c>
      <c r="M54" s="47">
        <v>58829.0</v>
      </c>
      <c r="N54" s="45">
        <f>3978+58829</f>
        <v>62807</v>
      </c>
      <c r="O54" s="47">
        <v>58829.0</v>
      </c>
      <c r="P54" s="47">
        <v>58829.0</v>
      </c>
      <c r="Q54" s="47">
        <v>29415.0</v>
      </c>
      <c r="R54" s="45">
        <f>58829+4202</f>
        <v>63031</v>
      </c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40">
        <v>21.0</v>
      </c>
      <c r="F55" s="40" t="s">
        <v>41</v>
      </c>
      <c r="G55" s="41">
        <v>42095.0</v>
      </c>
      <c r="H55" s="41">
        <v>42125.0</v>
      </c>
      <c r="I55" s="41">
        <v>42156.0</v>
      </c>
      <c r="J55" s="41">
        <v>42186.0</v>
      </c>
      <c r="K55" s="41">
        <v>42217.0</v>
      </c>
      <c r="L55" s="41">
        <v>42248.0</v>
      </c>
      <c r="M55" s="41">
        <v>42278.0</v>
      </c>
      <c r="N55" s="41">
        <v>42309.0</v>
      </c>
      <c r="O55" s="41">
        <v>42339.0</v>
      </c>
      <c r="P55" s="41">
        <v>42370.0</v>
      </c>
      <c r="Q55" s="41">
        <v>42401.0</v>
      </c>
      <c r="R55" s="41">
        <v>42430.0</v>
      </c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"/>
      <c r="C56" s="1"/>
      <c r="D56" s="1"/>
      <c r="E56" s="29"/>
      <c r="F56" s="29"/>
      <c r="G56" s="45">
        <f>60535+4386</f>
        <v>64921</v>
      </c>
      <c r="H56" s="47">
        <v>60535.0</v>
      </c>
      <c r="I56" s="47">
        <v>60535.0</v>
      </c>
      <c r="J56" s="47">
        <v>62366.0</v>
      </c>
      <c r="K56" s="47">
        <v>62366.0</v>
      </c>
      <c r="L56" s="47">
        <v>64123.0</v>
      </c>
      <c r="M56" s="45">
        <f>3514+64123</f>
        <v>67637</v>
      </c>
      <c r="N56" s="47">
        <v>64123.0</v>
      </c>
      <c r="O56" s="47">
        <v>65263.0</v>
      </c>
      <c r="P56" s="47">
        <v>65203.0</v>
      </c>
      <c r="Q56" s="47">
        <v>65323.0</v>
      </c>
      <c r="R56" s="47">
        <v>65323.0</v>
      </c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40">
        <v>22.0</v>
      </c>
      <c r="F57" s="40" t="s">
        <v>42</v>
      </c>
      <c r="G57" s="41">
        <v>42461.0</v>
      </c>
      <c r="H57" s="41">
        <v>42491.0</v>
      </c>
      <c r="I57" s="41">
        <v>42522.0</v>
      </c>
      <c r="J57" s="41">
        <v>42552.0</v>
      </c>
      <c r="K57" s="41">
        <v>42583.0</v>
      </c>
      <c r="L57" s="41">
        <v>42614.0</v>
      </c>
      <c r="M57" s="41">
        <v>42644.0</v>
      </c>
      <c r="N57" s="41">
        <v>42675.0</v>
      </c>
      <c r="O57" s="41">
        <v>42705.0</v>
      </c>
      <c r="P57" s="41">
        <v>42736.0</v>
      </c>
      <c r="Q57" s="41">
        <v>42767.0</v>
      </c>
      <c r="R57" s="41">
        <v>42795.0</v>
      </c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29"/>
      <c r="F58" s="29"/>
      <c r="G58" s="47">
        <v>66240.0</v>
      </c>
      <c r="H58" s="45">
        <f>5271+67020</f>
        <v>72291</v>
      </c>
      <c r="I58" s="47">
        <v>67020.0</v>
      </c>
      <c r="J58" s="47">
        <v>69060.0</v>
      </c>
      <c r="K58" s="47">
        <v>70889.0</v>
      </c>
      <c r="L58" s="48">
        <v>73628.0</v>
      </c>
      <c r="M58" s="47">
        <v>73688.0</v>
      </c>
      <c r="N58" s="45">
        <f>1386+75886</f>
        <v>77272</v>
      </c>
      <c r="O58" s="45">
        <f>74866+8838</f>
        <v>83704</v>
      </c>
      <c r="P58" s="47">
        <v>74866.0</v>
      </c>
      <c r="Q58" s="47">
        <v>74866.0</v>
      </c>
      <c r="R58" s="45">
        <f>74866+3873</f>
        <v>78739</v>
      </c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40">
        <v>23.0</v>
      </c>
      <c r="F59" s="40" t="s">
        <v>43</v>
      </c>
      <c r="G59" s="41">
        <v>42826.0</v>
      </c>
      <c r="H59" s="41">
        <v>42856.0</v>
      </c>
      <c r="I59" s="41">
        <v>42887.0</v>
      </c>
      <c r="J59" s="41">
        <v>42917.0</v>
      </c>
      <c r="K59" s="41">
        <v>42948.0</v>
      </c>
      <c r="L59" s="41">
        <v>42979.0</v>
      </c>
      <c r="M59" s="41">
        <v>43009.0</v>
      </c>
      <c r="N59" s="41">
        <v>43040.0</v>
      </c>
      <c r="O59" s="41">
        <v>43070.0</v>
      </c>
      <c r="P59" s="41">
        <v>43101.0</v>
      </c>
      <c r="Q59" s="41">
        <v>43132.0</v>
      </c>
      <c r="R59" s="41">
        <v>43160.0</v>
      </c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29"/>
      <c r="F60" s="29"/>
      <c r="G60" s="47">
        <v>76157.0</v>
      </c>
      <c r="H60" s="47">
        <v>76157.0</v>
      </c>
      <c r="I60" s="45">
        <f>110093+76157</f>
        <v>186250</v>
      </c>
      <c r="J60" s="45">
        <f t="shared" ref="J60:K60" si="1">89232</f>
        <v>89232</v>
      </c>
      <c r="K60" s="45">
        <f t="shared" si="1"/>
        <v>89232</v>
      </c>
      <c r="L60" s="45">
        <f>89232+2574</f>
        <v>91806</v>
      </c>
      <c r="M60" s="47">
        <v>90090.0</v>
      </c>
      <c r="N60" s="47">
        <v>90090.0</v>
      </c>
      <c r="O60" s="47">
        <v>90090.0</v>
      </c>
      <c r="P60" s="47">
        <v>90090.0</v>
      </c>
      <c r="Q60" s="47">
        <v>90090.0</v>
      </c>
      <c r="R60" s="45">
        <f>90090+5148</f>
        <v>95238</v>
      </c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40">
        <v>24.0</v>
      </c>
      <c r="F61" s="40" t="s">
        <v>44</v>
      </c>
      <c r="G61" s="41">
        <v>43191.0</v>
      </c>
      <c r="H61" s="41">
        <v>43221.0</v>
      </c>
      <c r="I61" s="41">
        <v>43252.0</v>
      </c>
      <c r="J61" s="41">
        <v>43282.0</v>
      </c>
      <c r="K61" s="41">
        <v>43313.0</v>
      </c>
      <c r="L61" s="41">
        <v>43344.0</v>
      </c>
      <c r="M61" s="41">
        <v>43374.0</v>
      </c>
      <c r="N61" s="41">
        <v>43405.0</v>
      </c>
      <c r="O61" s="41">
        <v>43435.0</v>
      </c>
      <c r="P61" s="41">
        <v>43466.0</v>
      </c>
      <c r="Q61" s="41">
        <v>43497.0</v>
      </c>
      <c r="R61" s="41">
        <v>43525.0</v>
      </c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29"/>
      <c r="F62" s="29"/>
      <c r="G62" s="47">
        <v>91806.0</v>
      </c>
      <c r="H62" s="47">
        <v>91806.0</v>
      </c>
      <c r="I62" s="47">
        <v>91806.0</v>
      </c>
      <c r="J62" s="47">
        <v>94588.0</v>
      </c>
      <c r="K62" s="45">
        <f>94588+3536</f>
        <v>98124</v>
      </c>
      <c r="L62" s="47">
        <v>96356.0</v>
      </c>
      <c r="M62" s="47">
        <v>96356.0</v>
      </c>
      <c r="N62" s="47">
        <v>96356.0</v>
      </c>
      <c r="O62" s="47">
        <v>96356.0</v>
      </c>
      <c r="P62" s="47">
        <v>96356.0</v>
      </c>
      <c r="Q62" s="47">
        <v>96356.0</v>
      </c>
      <c r="R62" s="45">
        <f>96356+7956</f>
        <v>104312</v>
      </c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40">
        <v>25.0</v>
      </c>
      <c r="F63" s="40" t="s">
        <v>45</v>
      </c>
      <c r="G63" s="41">
        <v>43556.0</v>
      </c>
      <c r="H63" s="41">
        <v>43586.0</v>
      </c>
      <c r="I63" s="41">
        <v>43617.0</v>
      </c>
      <c r="J63" s="41">
        <v>43647.0</v>
      </c>
      <c r="K63" s="41">
        <v>43678.0</v>
      </c>
      <c r="L63" s="41">
        <v>43709.0</v>
      </c>
      <c r="M63" s="41">
        <v>43739.0</v>
      </c>
      <c r="N63" s="41">
        <v>43770.0</v>
      </c>
      <c r="O63" s="41">
        <v>43800.0</v>
      </c>
      <c r="P63" s="41">
        <v>43831.0</v>
      </c>
      <c r="Q63" s="41">
        <v>43862.0</v>
      </c>
      <c r="R63" s="41">
        <v>43891.0</v>
      </c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29"/>
      <c r="F64" s="29"/>
      <c r="G64" s="47">
        <v>99008.0</v>
      </c>
      <c r="H64" s="47">
        <v>99008.0</v>
      </c>
      <c r="I64" s="47">
        <v>99008.0</v>
      </c>
      <c r="J64" s="47">
        <v>65047.0</v>
      </c>
      <c r="K64" s="47">
        <v>102032.0</v>
      </c>
      <c r="L64" s="45">
        <f>12014+102032</f>
        <v>114046</v>
      </c>
      <c r="M64" s="47">
        <v>106587.0</v>
      </c>
      <c r="N64" s="47">
        <v>106587.0</v>
      </c>
      <c r="O64" s="47">
        <v>106587.0</v>
      </c>
      <c r="P64" s="47">
        <v>106587.0</v>
      </c>
      <c r="Q64" s="47">
        <v>106587.0</v>
      </c>
      <c r="R64" s="47">
        <v>106587.0</v>
      </c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40">
        <v>26.0</v>
      </c>
      <c r="F65" s="40" t="s">
        <v>46</v>
      </c>
      <c r="G65" s="41">
        <v>43922.0</v>
      </c>
      <c r="H65" s="41">
        <v>43952.0</v>
      </c>
      <c r="I65" s="41">
        <v>43983.0</v>
      </c>
      <c r="J65" s="41">
        <v>44013.0</v>
      </c>
      <c r="K65" s="41">
        <v>44044.0</v>
      </c>
      <c r="L65" s="41">
        <v>44075.0</v>
      </c>
      <c r="M65" s="41">
        <v>44105.0</v>
      </c>
      <c r="N65" s="41">
        <v>44136.0</v>
      </c>
      <c r="O65" s="41">
        <v>44166.0</v>
      </c>
      <c r="P65" s="41">
        <v>44197.0</v>
      </c>
      <c r="Q65" s="41">
        <v>44228.0</v>
      </c>
      <c r="R65" s="41">
        <v>44256.0</v>
      </c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29"/>
      <c r="F66" s="29"/>
      <c r="G66" s="47">
        <v>106587.0</v>
      </c>
      <c r="H66" s="47">
        <v>106587.0</v>
      </c>
      <c r="I66" s="47">
        <v>106587.0</v>
      </c>
      <c r="J66" s="47">
        <v>109746.0</v>
      </c>
      <c r="K66" s="47">
        <v>109746.0</v>
      </c>
      <c r="L66" s="47">
        <v>109746.0</v>
      </c>
      <c r="M66" s="47">
        <v>109746.0</v>
      </c>
      <c r="N66" s="47">
        <v>109746.0</v>
      </c>
      <c r="O66" s="47">
        <v>109746.0</v>
      </c>
      <c r="P66" s="47">
        <v>109746.0</v>
      </c>
      <c r="Q66" s="47">
        <v>109746.0</v>
      </c>
      <c r="R66" s="47">
        <v>109746.0</v>
      </c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40">
        <v>27.0</v>
      </c>
      <c r="F67" s="40" t="s">
        <v>47</v>
      </c>
      <c r="G67" s="41">
        <v>44287.0</v>
      </c>
      <c r="H67" s="41">
        <v>44317.0</v>
      </c>
      <c r="I67" s="41">
        <v>44348.0</v>
      </c>
      <c r="J67" s="41">
        <v>44378.0</v>
      </c>
      <c r="K67" s="41">
        <v>44409.0</v>
      </c>
      <c r="L67" s="41">
        <v>44440.0</v>
      </c>
      <c r="M67" s="41">
        <v>44470.0</v>
      </c>
      <c r="N67" s="41">
        <v>44501.0</v>
      </c>
      <c r="O67" s="41">
        <v>44531.0</v>
      </c>
      <c r="P67" s="41">
        <v>44562.0</v>
      </c>
      <c r="Q67" s="41">
        <v>44593.0</v>
      </c>
      <c r="R67" s="41">
        <v>44621.0</v>
      </c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29"/>
      <c r="F68" s="29"/>
      <c r="G68" s="47">
        <v>109746.0</v>
      </c>
      <c r="H68" s="47">
        <v>0.0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40">
        <v>28.0</v>
      </c>
      <c r="F69" s="40" t="s">
        <v>48</v>
      </c>
      <c r="G69" s="41">
        <v>44652.0</v>
      </c>
      <c r="H69" s="41">
        <v>44682.0</v>
      </c>
      <c r="I69" s="41">
        <v>44713.0</v>
      </c>
      <c r="J69" s="41">
        <v>44743.0</v>
      </c>
      <c r="K69" s="41">
        <v>44774.0</v>
      </c>
      <c r="L69" s="41">
        <v>44805.0</v>
      </c>
      <c r="M69" s="41">
        <v>44835.0</v>
      </c>
      <c r="N69" s="41">
        <v>44866.0</v>
      </c>
      <c r="O69" s="41">
        <v>44896.0</v>
      </c>
      <c r="P69" s="41">
        <v>44927.0</v>
      </c>
      <c r="Q69" s="41">
        <v>44958.0</v>
      </c>
      <c r="R69" s="41">
        <v>44986.0</v>
      </c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29"/>
      <c r="F70" s="29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40">
        <v>29.0</v>
      </c>
      <c r="F71" s="40" t="s">
        <v>49</v>
      </c>
      <c r="G71" s="41">
        <v>45017.0</v>
      </c>
      <c r="H71" s="41">
        <v>45047.0</v>
      </c>
      <c r="I71" s="41">
        <v>45078.0</v>
      </c>
      <c r="J71" s="41">
        <v>45108.0</v>
      </c>
      <c r="K71" s="41">
        <v>45139.0</v>
      </c>
      <c r="L71" s="41">
        <v>45170.0</v>
      </c>
      <c r="M71" s="41">
        <v>45200.0</v>
      </c>
      <c r="N71" s="41">
        <v>45231.0</v>
      </c>
      <c r="O71" s="41">
        <v>45261.0</v>
      </c>
      <c r="P71" s="41">
        <v>45292.0</v>
      </c>
      <c r="Q71" s="41">
        <v>45323.0</v>
      </c>
      <c r="R71" s="41">
        <v>45352.0</v>
      </c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29"/>
      <c r="F72" s="29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0"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F47:F48"/>
    <mergeCell ref="E49:E50"/>
    <mergeCell ref="F49:F50"/>
    <mergeCell ref="E51:E52"/>
    <mergeCell ref="F51:F52"/>
    <mergeCell ref="E59:E60"/>
    <mergeCell ref="E61:E62"/>
    <mergeCell ref="E63:E64"/>
    <mergeCell ref="E65:E66"/>
    <mergeCell ref="E67:E68"/>
    <mergeCell ref="E69:E70"/>
    <mergeCell ref="E71:E72"/>
    <mergeCell ref="F61:F62"/>
    <mergeCell ref="F63:F64"/>
    <mergeCell ref="F65:F66"/>
    <mergeCell ref="F67:F68"/>
    <mergeCell ref="F69:F70"/>
    <mergeCell ref="F71:F72"/>
    <mergeCell ref="E53:E54"/>
    <mergeCell ref="F53:F54"/>
    <mergeCell ref="E55:E56"/>
    <mergeCell ref="F55:F56"/>
    <mergeCell ref="E57:E58"/>
    <mergeCell ref="F57:F58"/>
    <mergeCell ref="F59:F60"/>
    <mergeCell ref="E2:R2"/>
    <mergeCell ref="E3:R3"/>
    <mergeCell ref="E5:R5"/>
    <mergeCell ref="E7:N7"/>
    <mergeCell ref="O7:R7"/>
    <mergeCell ref="K8:N8"/>
    <mergeCell ref="O8:R10"/>
    <mergeCell ref="O11:R11"/>
    <mergeCell ref="G13:R13"/>
    <mergeCell ref="G14:N14"/>
    <mergeCell ref="G16:M16"/>
    <mergeCell ref="J9:M9"/>
    <mergeCell ref="E10:H10"/>
    <mergeCell ref="J10:K11"/>
    <mergeCell ref="L10:L11"/>
    <mergeCell ref="M10:M11"/>
    <mergeCell ref="N10:N11"/>
    <mergeCell ref="E11:H11"/>
    <mergeCell ref="E8:H8"/>
    <mergeCell ref="E9:H9"/>
    <mergeCell ref="E13:E14"/>
    <mergeCell ref="F13:F14"/>
    <mergeCell ref="E15:E16"/>
    <mergeCell ref="F15:F16"/>
    <mergeCell ref="F17:F18"/>
    <mergeCell ref="E17:E18"/>
    <mergeCell ref="E19:E20"/>
    <mergeCell ref="F19:F20"/>
    <mergeCell ref="E21:E22"/>
    <mergeCell ref="F21:F22"/>
    <mergeCell ref="E23:E24"/>
    <mergeCell ref="F23:F24"/>
    <mergeCell ref="F33:F34"/>
    <mergeCell ref="F35:F36"/>
    <mergeCell ref="F37:F38"/>
    <mergeCell ref="F39:F40"/>
    <mergeCell ref="F41:F42"/>
    <mergeCell ref="F43:F44"/>
    <mergeCell ref="F45:F46"/>
    <mergeCell ref="E25:E26"/>
    <mergeCell ref="F25:F26"/>
    <mergeCell ref="E27:E28"/>
    <mergeCell ref="F27:F28"/>
    <mergeCell ref="E29:E30"/>
    <mergeCell ref="F29:F30"/>
    <mergeCell ref="F31:F32"/>
  </mergeCells>
  <printOptions horizontalCentered="1"/>
  <pageMargins bottom="0.2362204724409449" footer="0.0" header="0.0" left="0.5118110236220472" right="0.5118110236220472" top="0.35433070866141736"/>
  <pageSetup orientation="landscape"/>
  <headerFooter>
    <oddFooter>&amp;LNote:  This working sheet will provide a rough idea of New Pension, Approximate amount of Differencial contribution and Interest etc., based on Inpt and other parameters.</oddFooter>
  </headerFooter>
  <rowBreaks count="1" manualBreakCount="1">
    <brk id="40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4.71"/>
    <col customWidth="1" min="3" max="3" width="9.0"/>
    <col customWidth="1" min="4" max="4" width="3.14"/>
    <col customWidth="1" min="5" max="5" width="5.0"/>
    <col customWidth="1" min="6" max="6" width="7.57"/>
    <col customWidth="1" min="7" max="10" width="4.71"/>
    <col customWidth="1" min="11" max="11" width="8.57"/>
    <col customWidth="1" min="12" max="12" width="5.0"/>
    <col customWidth="1" min="13" max="13" width="12.14"/>
    <col customWidth="1" min="14" max="14" width="11.71"/>
    <col customWidth="1" min="15" max="17" width="4.71"/>
    <col customWidth="1" min="18" max="18" width="12.0"/>
    <col customWidth="1" min="19" max="19" width="11.71"/>
    <col customWidth="1" min="20" max="20" width="4.71"/>
    <col customWidth="1" min="21" max="21" width="5.71"/>
    <col customWidth="1" min="22" max="23" width="11.71"/>
    <col customWidth="1" min="24" max="24" width="5.71"/>
    <col customWidth="1" min="25" max="25" width="12.0"/>
    <col customWidth="1" min="26" max="27" width="4.71"/>
    <col customWidth="1" min="28" max="28" width="7.43"/>
    <col customWidth="1" min="29" max="29" width="4.71"/>
  </cols>
  <sheetData>
    <row r="1" ht="21.0" customHeight="1">
      <c r="A1" s="49" t="s">
        <v>50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1"/>
      <c r="AC1" s="3"/>
    </row>
    <row r="2" ht="16.5" customHeight="1">
      <c r="A2" s="52" t="s">
        <v>51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4"/>
      <c r="AC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55" t="s">
        <v>52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37"/>
      <c r="AC4" s="1"/>
    </row>
    <row r="5">
      <c r="A5" s="8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0" customHeight="1">
      <c r="A6" s="56" t="s">
        <v>6</v>
      </c>
      <c r="B6" s="6"/>
      <c r="C6" s="57" t="str">
        <f>Input!K8</f>
        <v>VARRINDER KAUR RAINA</v>
      </c>
      <c r="D6" s="5"/>
      <c r="E6" s="5"/>
      <c r="F6" s="5"/>
      <c r="G6" s="6"/>
      <c r="H6" s="3"/>
      <c r="I6" s="58" t="s">
        <v>53</v>
      </c>
      <c r="J6" s="6"/>
      <c r="K6" s="59" t="s">
        <v>54</v>
      </c>
      <c r="L6" s="59" t="s">
        <v>55</v>
      </c>
      <c r="M6" s="3"/>
      <c r="N6" s="58" t="s">
        <v>56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  <c r="AC6" s="3"/>
    </row>
    <row r="7" ht="15.0" customHeight="1">
      <c r="A7" s="60" t="s">
        <v>5</v>
      </c>
      <c r="B7" s="5"/>
      <c r="C7" s="5"/>
      <c r="D7" s="5"/>
      <c r="E7" s="5"/>
      <c r="F7" s="5"/>
      <c r="G7" s="6"/>
      <c r="H7" s="3"/>
      <c r="I7" s="61">
        <f>YEAR(Input!I8)</f>
        <v>1961</v>
      </c>
      <c r="J7" s="6"/>
      <c r="K7" s="62">
        <f>MONTH(Input!I8)</f>
        <v>4</v>
      </c>
      <c r="L7" s="62">
        <f>DAY(Input!I8)</f>
        <v>2</v>
      </c>
      <c r="M7" s="3"/>
      <c r="N7" s="58" t="s">
        <v>57</v>
      </c>
      <c r="O7" s="5"/>
      <c r="P7" s="5"/>
      <c r="Q7" s="5"/>
      <c r="R7" s="5"/>
      <c r="S7" s="5"/>
      <c r="T7" s="5"/>
      <c r="U7" s="6"/>
      <c r="V7" s="58" t="s">
        <v>58</v>
      </c>
      <c r="W7" s="5"/>
      <c r="X7" s="6"/>
      <c r="Y7" s="58" t="s">
        <v>59</v>
      </c>
      <c r="Z7" s="5"/>
      <c r="AA7" s="5"/>
      <c r="AB7" s="6"/>
      <c r="AC7" s="3"/>
    </row>
    <row r="8" ht="15.0" customHeight="1">
      <c r="A8" s="60" t="s">
        <v>9</v>
      </c>
      <c r="B8" s="5"/>
      <c r="C8" s="5"/>
      <c r="D8" s="5"/>
      <c r="E8" s="5"/>
      <c r="F8" s="5"/>
      <c r="G8" s="6"/>
      <c r="H8" s="3"/>
      <c r="I8" s="61">
        <f>YEAR(Input!I9)</f>
        <v>1980</v>
      </c>
      <c r="J8" s="6"/>
      <c r="K8" s="62">
        <f>MONTH(Input!I9)</f>
        <v>1</v>
      </c>
      <c r="L8" s="62">
        <f>DAY(Input!I9)</f>
        <v>1</v>
      </c>
      <c r="M8" s="3"/>
      <c r="N8" s="63" t="s">
        <v>60</v>
      </c>
      <c r="O8" s="5"/>
      <c r="P8" s="5"/>
      <c r="Q8" s="5"/>
      <c r="R8" s="5"/>
      <c r="S8" s="5"/>
      <c r="T8" s="5"/>
      <c r="U8" s="6"/>
      <c r="V8" s="63">
        <v>80.0</v>
      </c>
      <c r="W8" s="5"/>
      <c r="X8" s="6"/>
      <c r="Y8" s="63">
        <v>85.0</v>
      </c>
      <c r="Z8" s="5"/>
      <c r="AA8" s="5"/>
      <c r="AB8" s="6"/>
      <c r="AC8" s="3"/>
    </row>
    <row r="9" ht="15.0" customHeight="1">
      <c r="A9" s="64" t="s">
        <v>61</v>
      </c>
      <c r="B9" s="5"/>
      <c r="C9" s="5"/>
      <c r="D9" s="5"/>
      <c r="E9" s="6"/>
      <c r="F9" s="65">
        <v>35019.0</v>
      </c>
      <c r="G9" s="6"/>
      <c r="H9" s="3"/>
      <c r="I9" s="61">
        <f t="shared" ref="I9:I11" si="1">YEAR(F9)</f>
        <v>1995</v>
      </c>
      <c r="J9" s="6"/>
      <c r="K9" s="62">
        <f>MONTH('Pension Cal'!F9)</f>
        <v>11</v>
      </c>
      <c r="L9" s="62">
        <f>DAY('Pension Cal'!F9)</f>
        <v>16</v>
      </c>
      <c r="M9" s="3"/>
      <c r="N9" s="63" t="s">
        <v>62</v>
      </c>
      <c r="O9" s="5"/>
      <c r="P9" s="5"/>
      <c r="Q9" s="5"/>
      <c r="R9" s="5"/>
      <c r="S9" s="5"/>
      <c r="T9" s="5"/>
      <c r="U9" s="6"/>
      <c r="V9" s="63">
        <v>95.0</v>
      </c>
      <c r="W9" s="5"/>
      <c r="X9" s="6"/>
      <c r="Y9" s="63">
        <v>105.0</v>
      </c>
      <c r="Z9" s="5"/>
      <c r="AA9" s="5"/>
      <c r="AB9" s="6"/>
      <c r="AC9" s="3"/>
    </row>
    <row r="10" ht="15.0" customHeight="1">
      <c r="A10" s="64" t="s">
        <v>63</v>
      </c>
      <c r="B10" s="5"/>
      <c r="C10" s="5"/>
      <c r="D10" s="5"/>
      <c r="E10" s="6"/>
      <c r="F10" s="65">
        <v>39609.0</v>
      </c>
      <c r="G10" s="6"/>
      <c r="H10" s="3"/>
      <c r="I10" s="61">
        <f t="shared" si="1"/>
        <v>2008</v>
      </c>
      <c r="J10" s="6"/>
      <c r="K10" s="62">
        <f>MONTH(F10)</f>
        <v>6</v>
      </c>
      <c r="L10" s="62">
        <f>DAY(F10)</f>
        <v>10</v>
      </c>
      <c r="M10" s="3"/>
      <c r="N10" s="63" t="s">
        <v>64</v>
      </c>
      <c r="O10" s="5"/>
      <c r="P10" s="5"/>
      <c r="Q10" s="5"/>
      <c r="R10" s="5"/>
      <c r="S10" s="5"/>
      <c r="T10" s="5"/>
      <c r="U10" s="6"/>
      <c r="V10" s="63">
        <v>120.0</v>
      </c>
      <c r="W10" s="5"/>
      <c r="X10" s="6"/>
      <c r="Y10" s="63">
        <v>135.0</v>
      </c>
      <c r="Z10" s="5"/>
      <c r="AA10" s="5"/>
      <c r="AB10" s="6"/>
      <c r="AC10" s="3"/>
    </row>
    <row r="11" ht="15.0" customHeight="1">
      <c r="A11" s="64" t="s">
        <v>65</v>
      </c>
      <c r="B11" s="5"/>
      <c r="C11" s="5"/>
      <c r="D11" s="5"/>
      <c r="E11" s="6"/>
      <c r="F11" s="65">
        <v>41883.0</v>
      </c>
      <c r="G11" s="6"/>
      <c r="H11" s="3"/>
      <c r="I11" s="61">
        <f t="shared" si="1"/>
        <v>2014</v>
      </c>
      <c r="J11" s="6"/>
      <c r="K11" s="62">
        <f>MONTH('Pension Cal'!F11)</f>
        <v>9</v>
      </c>
      <c r="L11" s="62">
        <f>DAY('Pension Cal'!F11)</f>
        <v>1</v>
      </c>
      <c r="M11" s="3"/>
      <c r="N11" s="63" t="s">
        <v>66</v>
      </c>
      <c r="O11" s="5"/>
      <c r="P11" s="5"/>
      <c r="Q11" s="5"/>
      <c r="R11" s="5"/>
      <c r="S11" s="5"/>
      <c r="T11" s="5"/>
      <c r="U11" s="6"/>
      <c r="V11" s="63">
        <v>150.0</v>
      </c>
      <c r="W11" s="5"/>
      <c r="X11" s="6"/>
      <c r="Y11" s="63">
        <v>170.0</v>
      </c>
      <c r="Z11" s="5"/>
      <c r="AA11" s="5"/>
      <c r="AB11" s="6"/>
      <c r="AC11" s="3"/>
    </row>
    <row r="12" ht="15.0" customHeight="1">
      <c r="A12" s="64" t="s">
        <v>67</v>
      </c>
      <c r="B12" s="5"/>
      <c r="C12" s="5"/>
      <c r="D12" s="5"/>
      <c r="E12" s="6"/>
      <c r="F12" s="66">
        <f>DATE(I12,K12,L12)</f>
        <v>43557</v>
      </c>
      <c r="G12" s="6"/>
      <c r="H12" s="3"/>
      <c r="I12" s="61">
        <f>I7+58</f>
        <v>2019</v>
      </c>
      <c r="J12" s="6"/>
      <c r="K12" s="62">
        <f t="shared" ref="K12:L12" si="2">K7</f>
        <v>4</v>
      </c>
      <c r="L12" s="62">
        <f t="shared" si="2"/>
        <v>2</v>
      </c>
      <c r="M12" s="3"/>
      <c r="N12" s="67" t="s">
        <v>68</v>
      </c>
      <c r="O12" s="5"/>
      <c r="P12" s="5"/>
      <c r="Q12" s="5"/>
      <c r="R12" s="5"/>
      <c r="S12" s="5"/>
      <c r="T12" s="5"/>
      <c r="U12" s="6"/>
      <c r="V12" s="67">
        <f>IF(Q24=0,0,VLOOKUP(Q24,D58:E86,2,1))</f>
        <v>120</v>
      </c>
      <c r="W12" s="5"/>
      <c r="X12" s="6"/>
      <c r="Y12" s="67">
        <f>IF(Q24=0,0,VLOOKUP(Q24,D58:G86,4,1))</f>
        <v>135</v>
      </c>
      <c r="Z12" s="5"/>
      <c r="AA12" s="5"/>
      <c r="AB12" s="6"/>
      <c r="AC12" s="3"/>
    </row>
    <row r="13" ht="15.0" customHeight="1">
      <c r="A13" s="68" t="s">
        <v>69</v>
      </c>
      <c r="B13" s="5"/>
      <c r="C13" s="5"/>
      <c r="D13" s="5"/>
      <c r="E13" s="5"/>
      <c r="F13" s="5"/>
      <c r="G13" s="6"/>
      <c r="H13" s="3"/>
      <c r="I13" s="61">
        <f>YEAR(Input!I11)</f>
        <v>2019</v>
      </c>
      <c r="J13" s="6"/>
      <c r="K13" s="62">
        <f>MONTH(Input!I11)</f>
        <v>5</v>
      </c>
      <c r="L13" s="62">
        <f>DAY(Input!I11)</f>
        <v>1</v>
      </c>
      <c r="M13" s="3"/>
      <c r="N13" s="69" t="s">
        <v>70</v>
      </c>
      <c r="O13" s="5"/>
      <c r="P13" s="5"/>
      <c r="Q13" s="5"/>
      <c r="R13" s="5"/>
      <c r="S13" s="5"/>
      <c r="T13" s="5"/>
      <c r="U13" s="5"/>
      <c r="V13" s="5"/>
      <c r="W13" s="5"/>
      <c r="X13" s="6"/>
      <c r="Y13" s="70">
        <f>IF(Input!L10&lt;=2500,V12,Y12)</f>
        <v>135</v>
      </c>
      <c r="Z13" s="5"/>
      <c r="AA13" s="5"/>
      <c r="AB13" s="6"/>
      <c r="AC13" s="3"/>
    </row>
    <row r="14" ht="15.0" customHeight="1">
      <c r="A14" s="71" t="s">
        <v>71</v>
      </c>
      <c r="B14" s="5"/>
      <c r="C14" s="5"/>
      <c r="D14" s="5"/>
      <c r="E14" s="5"/>
      <c r="F14" s="5"/>
      <c r="G14" s="6"/>
      <c r="H14" s="3"/>
      <c r="I14" s="61">
        <f>YEAR(Input!O11)</f>
        <v>2019</v>
      </c>
      <c r="J14" s="6"/>
      <c r="K14" s="62">
        <f>MONTH(Input!O11)</f>
        <v>5</v>
      </c>
      <c r="L14" s="62">
        <f>DAY(Input!O11)</f>
        <v>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0" customHeight="1">
      <c r="A16" s="72" t="s">
        <v>72</v>
      </c>
      <c r="B16" s="16"/>
      <c r="C16" s="17"/>
      <c r="D16" s="73"/>
      <c r="E16" s="72" t="s">
        <v>73</v>
      </c>
      <c r="F16" s="16"/>
      <c r="G16" s="17"/>
      <c r="H16" s="3"/>
      <c r="I16" s="72" t="s">
        <v>74</v>
      </c>
      <c r="J16" s="16"/>
      <c r="K16" s="17"/>
      <c r="L16" s="3"/>
      <c r="M16" s="3"/>
      <c r="N16" s="58" t="s">
        <v>75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6"/>
      <c r="AC16" s="3"/>
    </row>
    <row r="17" ht="15.0" customHeight="1">
      <c r="A17" s="26"/>
      <c r="B17" s="27"/>
      <c r="C17" s="28"/>
      <c r="D17" s="73"/>
      <c r="E17" s="26"/>
      <c r="F17" s="27"/>
      <c r="G17" s="28"/>
      <c r="H17" s="3"/>
      <c r="I17" s="26"/>
      <c r="J17" s="27"/>
      <c r="K17" s="28"/>
      <c r="L17" s="3"/>
      <c r="M17" s="3"/>
      <c r="N17" s="69" t="s">
        <v>76</v>
      </c>
      <c r="O17" s="5"/>
      <c r="P17" s="5"/>
      <c r="Q17" s="5"/>
      <c r="R17" s="5"/>
      <c r="S17" s="5"/>
      <c r="T17" s="5"/>
      <c r="U17" s="6"/>
      <c r="V17" s="58" t="s">
        <v>77</v>
      </c>
      <c r="W17" s="5"/>
      <c r="X17" s="6"/>
      <c r="Y17" s="58" t="s">
        <v>78</v>
      </c>
      <c r="Z17" s="5"/>
      <c r="AA17" s="5"/>
      <c r="AB17" s="6"/>
      <c r="AC17" s="3"/>
    </row>
    <row r="18">
      <c r="A18" s="63" t="s">
        <v>79</v>
      </c>
      <c r="B18" s="5"/>
      <c r="C18" s="6"/>
      <c r="D18" s="3"/>
      <c r="E18" s="74">
        <v>6500.0</v>
      </c>
      <c r="F18" s="5"/>
      <c r="G18" s="6"/>
      <c r="H18" s="3"/>
      <c r="I18" s="74">
        <v>15000.0</v>
      </c>
      <c r="J18" s="5"/>
      <c r="K18" s="6"/>
      <c r="L18" s="3"/>
      <c r="M18" s="3"/>
      <c r="N18" s="75" t="s">
        <v>80</v>
      </c>
      <c r="O18" s="5"/>
      <c r="P18" s="6"/>
      <c r="Q18" s="76">
        <f>M27/360</f>
        <v>23.45833333</v>
      </c>
      <c r="R18" s="6"/>
      <c r="S18" s="75" t="s">
        <v>81</v>
      </c>
      <c r="T18" s="5"/>
      <c r="U18" s="6"/>
      <c r="V18" s="77">
        <f>IF(M24=0,0,VLOOKUP(Q18,Y58:Z92,2,1))</f>
        <v>9.39</v>
      </c>
      <c r="W18" s="5"/>
      <c r="X18" s="6"/>
      <c r="Y18" s="77">
        <f>IF(M24=0,0,VLOOKUP(Q18,N58:Q92,4,1))</f>
        <v>6.101</v>
      </c>
      <c r="Z18" s="5"/>
      <c r="AA18" s="5"/>
      <c r="AB18" s="6"/>
      <c r="AC18" s="3"/>
    </row>
    <row r="19" ht="15.0" customHeight="1">
      <c r="A19" s="63" t="s">
        <v>82</v>
      </c>
      <c r="B19" s="5"/>
      <c r="C19" s="6"/>
      <c r="D19" s="3"/>
      <c r="E19" s="63" t="s">
        <v>83</v>
      </c>
      <c r="F19" s="5"/>
      <c r="G19" s="6"/>
      <c r="H19" s="3"/>
      <c r="I19" s="63" t="s">
        <v>83</v>
      </c>
      <c r="J19" s="5"/>
      <c r="K19" s="6"/>
      <c r="L19" s="3"/>
      <c r="M19" s="3"/>
      <c r="N19" s="69" t="s">
        <v>84</v>
      </c>
      <c r="O19" s="5"/>
      <c r="P19" s="5"/>
      <c r="Q19" s="5"/>
      <c r="R19" s="5"/>
      <c r="S19" s="5"/>
      <c r="T19" s="5"/>
      <c r="U19" s="5"/>
      <c r="V19" s="5"/>
      <c r="W19" s="5"/>
      <c r="X19" s="6"/>
      <c r="Y19" s="76">
        <f>IF(Input!I10&lt;=F10,V18,Y18)</f>
        <v>6.101</v>
      </c>
      <c r="Z19" s="5"/>
      <c r="AA19" s="5"/>
      <c r="AB19" s="6"/>
      <c r="AC19" s="3"/>
    </row>
    <row r="20">
      <c r="A20" s="7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0" customHeight="1">
      <c r="A21" s="58" t="s">
        <v>85</v>
      </c>
      <c r="B21" s="5"/>
      <c r="C21" s="6"/>
      <c r="D21" s="3"/>
      <c r="E21" s="58" t="s">
        <v>86</v>
      </c>
      <c r="F21" s="5"/>
      <c r="G21" s="5"/>
      <c r="H21" s="5"/>
      <c r="I21" s="5"/>
      <c r="J21" s="5"/>
      <c r="K21" s="6"/>
      <c r="L21" s="3"/>
      <c r="M21" s="58" t="s">
        <v>87</v>
      </c>
      <c r="N21" s="5"/>
      <c r="O21" s="6"/>
      <c r="P21" s="3"/>
      <c r="Q21" s="58" t="s">
        <v>81</v>
      </c>
      <c r="R21" s="6"/>
      <c r="S21" s="3"/>
      <c r="T21" s="58" t="s">
        <v>88</v>
      </c>
      <c r="U21" s="6"/>
      <c r="V21" s="3"/>
      <c r="W21" s="58" t="s">
        <v>55</v>
      </c>
      <c r="X21" s="6"/>
      <c r="Y21" s="3"/>
      <c r="Z21" s="73"/>
      <c r="AA21" s="73"/>
      <c r="AB21" s="73"/>
      <c r="AC21" s="3"/>
    </row>
    <row r="22" ht="15.0" customHeight="1">
      <c r="A22" s="79" t="s">
        <v>89</v>
      </c>
      <c r="B22" s="16"/>
      <c r="C22" s="17"/>
      <c r="D22" s="3"/>
      <c r="E22" s="80" t="s">
        <v>90</v>
      </c>
      <c r="F22" s="5"/>
      <c r="G22" s="5"/>
      <c r="H22" s="5"/>
      <c r="I22" s="5"/>
      <c r="J22" s="5"/>
      <c r="K22" s="6"/>
      <c r="L22" s="3"/>
      <c r="M22" s="74">
        <f>DAYS360(Input!I9,Input!I10)</f>
        <v>14160</v>
      </c>
      <c r="N22" s="5"/>
      <c r="O22" s="6"/>
      <c r="P22" s="3"/>
      <c r="Q22" s="63">
        <f>INT(M22/360)</f>
        <v>39</v>
      </c>
      <c r="R22" s="6"/>
      <c r="S22" s="3"/>
      <c r="T22" s="63">
        <f>INT((M22/360-Q22)*12)</f>
        <v>4</v>
      </c>
      <c r="U22" s="6"/>
      <c r="V22" s="3"/>
      <c r="W22" s="74">
        <f>M22-Q22*360-T22*30</f>
        <v>0</v>
      </c>
      <c r="X22" s="6"/>
      <c r="Y22" s="3"/>
      <c r="Z22" s="81"/>
      <c r="AA22" s="81"/>
      <c r="AB22" s="81"/>
      <c r="AC22" s="3"/>
    </row>
    <row r="23" ht="15.75" customHeight="1">
      <c r="A23" s="20"/>
      <c r="C23" s="21"/>
      <c r="D23" s="3"/>
      <c r="E23" s="80" t="s">
        <v>91</v>
      </c>
      <c r="F23" s="5"/>
      <c r="G23" s="5"/>
      <c r="H23" s="5"/>
      <c r="I23" s="5"/>
      <c r="J23" s="5"/>
      <c r="K23" s="6"/>
      <c r="L23" s="3"/>
      <c r="M23" s="74"/>
      <c r="N23" s="5"/>
      <c r="O23" s="6"/>
      <c r="P23" s="3"/>
      <c r="Q23" s="82">
        <f>IF(2*(M22/360)&gt;(2*Q22+1),(Q22+1),(M22/360))</f>
        <v>39.33333333</v>
      </c>
      <c r="R23" s="6"/>
      <c r="S23" s="73"/>
      <c r="T23" s="83">
        <v>0.0</v>
      </c>
      <c r="U23" s="6"/>
      <c r="V23" s="73"/>
      <c r="W23" s="83">
        <v>0.0</v>
      </c>
      <c r="X23" s="6"/>
      <c r="Y23" s="73"/>
      <c r="Z23" s="84"/>
      <c r="AA23" s="84"/>
      <c r="AB23" s="85"/>
      <c r="AC23" s="3"/>
    </row>
    <row r="24" ht="15.75" customHeight="1">
      <c r="A24" s="26"/>
      <c r="B24" s="27"/>
      <c r="C24" s="28"/>
      <c r="D24" s="3"/>
      <c r="E24" s="80" t="s">
        <v>92</v>
      </c>
      <c r="F24" s="5"/>
      <c r="G24" s="5"/>
      <c r="H24" s="5"/>
      <c r="I24" s="5"/>
      <c r="J24" s="5"/>
      <c r="K24" s="6"/>
      <c r="L24" s="3"/>
      <c r="M24" s="74">
        <f>IF(Input!I9=0,0,IF(Input!I9&gt;=F9,0,DAYS360(Input!I9,F9)))</f>
        <v>5715</v>
      </c>
      <c r="N24" s="5"/>
      <c r="O24" s="6"/>
      <c r="P24" s="3"/>
      <c r="Q24" s="83">
        <f t="shared" ref="Q24:Q29" si="3">INT(M24/360)</f>
        <v>15</v>
      </c>
      <c r="R24" s="6"/>
      <c r="S24" s="73"/>
      <c r="T24" s="83">
        <f t="shared" ref="T24:T29" si="4">INT((M24/360-Q24)*12)</f>
        <v>10</v>
      </c>
      <c r="U24" s="6"/>
      <c r="V24" s="73"/>
      <c r="W24" s="86">
        <f>M24-Q24*360-T24*30</f>
        <v>15</v>
      </c>
      <c r="X24" s="6"/>
      <c r="Y24" s="87"/>
      <c r="Z24" s="88"/>
      <c r="AA24" s="88"/>
      <c r="AB24" s="85"/>
      <c r="AC24" s="3"/>
    </row>
    <row r="25" ht="15.75" customHeight="1">
      <c r="A25" s="79" t="s">
        <v>93</v>
      </c>
      <c r="B25" s="16"/>
      <c r="C25" s="17"/>
      <c r="D25" s="3"/>
      <c r="E25" s="80" t="s">
        <v>94</v>
      </c>
      <c r="F25" s="5"/>
      <c r="G25" s="5"/>
      <c r="H25" s="5"/>
      <c r="I25" s="5"/>
      <c r="J25" s="5"/>
      <c r="K25" s="6"/>
      <c r="L25" s="3"/>
      <c r="M25" s="74">
        <f>IF(Input!I9=0,0,IF(Input!I9&gt;=F9,DAYS360(Input!I9,F11),IF(Input!I10&lt;='Pension Cal'!F11,DAYS360('Pension Cal'!F9,Input!I10),DAYS360('Pension Cal'!F9,'Pension Cal'!F11))))</f>
        <v>6765</v>
      </c>
      <c r="N25" s="5"/>
      <c r="O25" s="6"/>
      <c r="P25" s="3"/>
      <c r="Q25" s="63">
        <f t="shared" si="3"/>
        <v>18</v>
      </c>
      <c r="R25" s="6"/>
      <c r="S25" s="3"/>
      <c r="T25" s="63">
        <f t="shared" si="4"/>
        <v>9</v>
      </c>
      <c r="U25" s="6"/>
      <c r="V25" s="3"/>
      <c r="W25" s="74">
        <f t="shared" ref="W25:W26" si="5">(M25-Q25*360-T25*30)</f>
        <v>15</v>
      </c>
      <c r="X25" s="6"/>
      <c r="Y25" s="3"/>
      <c r="Z25" s="81"/>
      <c r="AA25" s="81"/>
      <c r="AB25" s="81"/>
      <c r="AC25" s="3"/>
    </row>
    <row r="26" ht="15.75" customHeight="1">
      <c r="A26" s="20"/>
      <c r="C26" s="21"/>
      <c r="D26" s="3"/>
      <c r="E26" s="80" t="s">
        <v>95</v>
      </c>
      <c r="F26" s="5"/>
      <c r="G26" s="5"/>
      <c r="H26" s="5"/>
      <c r="I26" s="5"/>
      <c r="J26" s="5"/>
      <c r="K26" s="6"/>
      <c r="L26" s="3"/>
      <c r="M26" s="74">
        <f>IF(Input!I11&lt;='Pension Cal'!F11,0,DAYS360('Pension Cal'!F11,Input!I11))</f>
        <v>1680</v>
      </c>
      <c r="N26" s="5"/>
      <c r="O26" s="6"/>
      <c r="P26" s="3"/>
      <c r="Q26" s="63">
        <f t="shared" si="3"/>
        <v>4</v>
      </c>
      <c r="R26" s="6"/>
      <c r="S26" s="3"/>
      <c r="T26" s="63">
        <f t="shared" si="4"/>
        <v>8</v>
      </c>
      <c r="U26" s="6"/>
      <c r="V26" s="3"/>
      <c r="W26" s="74">
        <f t="shared" si="5"/>
        <v>0</v>
      </c>
      <c r="X26" s="6"/>
      <c r="Y26" s="3"/>
      <c r="Z26" s="81"/>
      <c r="AA26" s="81"/>
      <c r="AB26" s="81"/>
      <c r="AC26" s="3"/>
    </row>
    <row r="27" ht="15.75" customHeight="1">
      <c r="A27" s="26"/>
      <c r="B27" s="27"/>
      <c r="C27" s="28"/>
      <c r="D27" s="3"/>
      <c r="E27" s="80" t="s">
        <v>96</v>
      </c>
      <c r="F27" s="5"/>
      <c r="G27" s="5"/>
      <c r="H27" s="5"/>
      <c r="I27" s="5"/>
      <c r="J27" s="5"/>
      <c r="K27" s="6"/>
      <c r="L27" s="3"/>
      <c r="M27" s="74">
        <f>SUM(M25:M26)</f>
        <v>8445</v>
      </c>
      <c r="N27" s="5"/>
      <c r="O27" s="6"/>
      <c r="P27" s="3"/>
      <c r="Q27" s="83">
        <f t="shared" si="3"/>
        <v>23</v>
      </c>
      <c r="R27" s="6"/>
      <c r="S27" s="73"/>
      <c r="T27" s="83">
        <f t="shared" si="4"/>
        <v>5</v>
      </c>
      <c r="U27" s="6"/>
      <c r="V27" s="87"/>
      <c r="W27" s="86">
        <f t="shared" ref="W27:W29" si="6">M27-Q27*360-T27*30</f>
        <v>15</v>
      </c>
      <c r="X27" s="6"/>
      <c r="Y27" s="3"/>
      <c r="Z27" s="85"/>
      <c r="AA27" s="85"/>
      <c r="AB27" s="85"/>
      <c r="AC27" s="3"/>
    </row>
    <row r="28" ht="15.75" customHeight="1">
      <c r="A28" s="79" t="s">
        <v>97</v>
      </c>
      <c r="B28" s="16"/>
      <c r="C28" s="17"/>
      <c r="D28" s="3"/>
      <c r="E28" s="80" t="s">
        <v>98</v>
      </c>
      <c r="F28" s="5"/>
      <c r="G28" s="5"/>
      <c r="H28" s="5"/>
      <c r="I28" s="5"/>
      <c r="J28" s="5"/>
      <c r="K28" s="6"/>
      <c r="L28" s="3"/>
      <c r="M28" s="74">
        <f>IF(Input!N10=2,720,0)</f>
        <v>0</v>
      </c>
      <c r="N28" s="5"/>
      <c r="O28" s="6"/>
      <c r="P28" s="3"/>
      <c r="Q28" s="63">
        <f t="shared" si="3"/>
        <v>0</v>
      </c>
      <c r="R28" s="6"/>
      <c r="S28" s="3"/>
      <c r="T28" s="63">
        <f t="shared" si="4"/>
        <v>0</v>
      </c>
      <c r="U28" s="6"/>
      <c r="V28" s="3"/>
      <c r="W28" s="74">
        <f t="shared" si="6"/>
        <v>0</v>
      </c>
      <c r="X28" s="6"/>
      <c r="Y28" s="3"/>
      <c r="Z28" s="81"/>
      <c r="AA28" s="81"/>
      <c r="AB28" s="81"/>
      <c r="AC28" s="3"/>
    </row>
    <row r="29" ht="15.75" customHeight="1">
      <c r="A29" s="20"/>
      <c r="C29" s="21"/>
      <c r="D29" s="3"/>
      <c r="E29" s="80" t="s">
        <v>99</v>
      </c>
      <c r="F29" s="5"/>
      <c r="G29" s="5"/>
      <c r="H29" s="5"/>
      <c r="I29" s="5"/>
      <c r="J29" s="5"/>
      <c r="K29" s="6"/>
      <c r="L29" s="3"/>
      <c r="M29" s="74">
        <f>Input!N9</f>
        <v>0</v>
      </c>
      <c r="N29" s="5"/>
      <c r="O29" s="6"/>
      <c r="P29" s="3"/>
      <c r="Q29" s="63">
        <f t="shared" si="3"/>
        <v>0</v>
      </c>
      <c r="R29" s="6"/>
      <c r="S29" s="3"/>
      <c r="T29" s="63">
        <f t="shared" si="4"/>
        <v>0</v>
      </c>
      <c r="U29" s="6"/>
      <c r="V29" s="3"/>
      <c r="W29" s="74">
        <f t="shared" si="6"/>
        <v>0</v>
      </c>
      <c r="X29" s="6"/>
      <c r="Y29" s="3"/>
      <c r="Z29" s="81"/>
      <c r="AA29" s="81"/>
      <c r="AB29" s="81"/>
      <c r="AC29" s="3"/>
    </row>
    <row r="30" ht="30.75" customHeight="1">
      <c r="A30" s="20"/>
      <c r="C30" s="21"/>
      <c r="D30" s="3"/>
      <c r="E30" s="80" t="s">
        <v>100</v>
      </c>
      <c r="F30" s="5"/>
      <c r="G30" s="5"/>
      <c r="H30" s="5"/>
      <c r="I30" s="5"/>
      <c r="J30" s="5"/>
      <c r="K30" s="6"/>
      <c r="L30" s="3"/>
      <c r="M30" s="74">
        <f>M25+M28-M29</f>
        <v>6765</v>
      </c>
      <c r="N30" s="5"/>
      <c r="O30" s="6"/>
      <c r="P30" s="3"/>
      <c r="Q30" s="63">
        <f>Q25+Q28-Q29</f>
        <v>18</v>
      </c>
      <c r="R30" s="6"/>
      <c r="S30" s="89"/>
      <c r="T30" s="63">
        <f>T25+T28-T29</f>
        <v>9</v>
      </c>
      <c r="U30" s="6"/>
      <c r="V30" s="3"/>
      <c r="W30" s="74">
        <f>W25+W28-W29</f>
        <v>15</v>
      </c>
      <c r="X30" s="6"/>
      <c r="Y30" s="3"/>
      <c r="Z30" s="85"/>
      <c r="AA30" s="85"/>
      <c r="AB30" s="85"/>
      <c r="AC30" s="3"/>
    </row>
    <row r="31" ht="30.0" customHeight="1">
      <c r="A31" s="26"/>
      <c r="B31" s="27"/>
      <c r="C31" s="28"/>
      <c r="D31" s="3"/>
      <c r="E31" s="80" t="s">
        <v>101</v>
      </c>
      <c r="F31" s="5"/>
      <c r="G31" s="5"/>
      <c r="H31" s="5"/>
      <c r="I31" s="5"/>
      <c r="J31" s="5"/>
      <c r="K31" s="6"/>
      <c r="L31" s="3"/>
      <c r="M31" s="74">
        <f>M27+M28-M29</f>
        <v>8445</v>
      </c>
      <c r="N31" s="5"/>
      <c r="O31" s="6"/>
      <c r="P31" s="3"/>
      <c r="Q31" s="63">
        <f>Q27+Q28-Q29</f>
        <v>23</v>
      </c>
      <c r="R31" s="6"/>
      <c r="S31" s="89"/>
      <c r="T31" s="63">
        <f>T27+T28-T29</f>
        <v>5</v>
      </c>
      <c r="U31" s="6"/>
      <c r="V31" s="89"/>
      <c r="W31" s="74">
        <f>W27+W28-W29</f>
        <v>15</v>
      </c>
      <c r="X31" s="6"/>
      <c r="Y31" s="3"/>
      <c r="Z31" s="85"/>
      <c r="AA31" s="85"/>
      <c r="AB31" s="85"/>
      <c r="AC31" s="3"/>
    </row>
    <row r="32" ht="15.0" customHeight="1">
      <c r="A32" s="83" t="s">
        <v>102</v>
      </c>
      <c r="B32" s="5"/>
      <c r="C32" s="6"/>
      <c r="D32" s="3"/>
      <c r="E32" s="80" t="s">
        <v>103</v>
      </c>
      <c r="F32" s="5"/>
      <c r="G32" s="5"/>
      <c r="H32" s="5"/>
      <c r="I32" s="5"/>
      <c r="J32" s="5"/>
      <c r="K32" s="6"/>
      <c r="L32" s="3"/>
      <c r="M32" s="74">
        <f>IF(Input!I11=0,0,ABS(DAYS360(F12,Input!I11)))</f>
        <v>29</v>
      </c>
      <c r="N32" s="5"/>
      <c r="O32" s="6"/>
      <c r="P32" s="3"/>
      <c r="Q32" s="63">
        <f>INT(M32/360)</f>
        <v>0</v>
      </c>
      <c r="R32" s="6"/>
      <c r="S32" s="3"/>
      <c r="T32" s="63">
        <f>INT((M32/360-Q32)*12)</f>
        <v>0</v>
      </c>
      <c r="U32" s="6"/>
      <c r="V32" s="3"/>
      <c r="W32" s="74">
        <f>M32-Q32*360-T32*30</f>
        <v>29</v>
      </c>
      <c r="X32" s="6"/>
      <c r="Y32" s="3"/>
      <c r="Z32" s="81"/>
      <c r="AA32" s="81"/>
      <c r="AB32" s="81"/>
      <c r="AC32" s="3"/>
    </row>
    <row r="33" ht="15.75" customHeight="1">
      <c r="A33" s="7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7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90" t="s">
        <v>104</v>
      </c>
      <c r="N34" s="5"/>
      <c r="O34" s="5"/>
      <c r="P34" s="5"/>
      <c r="Q34" s="5"/>
      <c r="R34" s="5"/>
      <c r="S34" s="6"/>
      <c r="T34" s="91"/>
      <c r="U34" s="3"/>
      <c r="V34" s="90" t="s">
        <v>105</v>
      </c>
      <c r="W34" s="5"/>
      <c r="X34" s="5"/>
      <c r="Y34" s="5"/>
      <c r="Z34" s="5"/>
      <c r="AA34" s="5"/>
      <c r="AB34" s="6"/>
      <c r="AC34" s="3"/>
    </row>
    <row r="35" ht="30.75" customHeight="1">
      <c r="A35" s="58" t="s">
        <v>106</v>
      </c>
      <c r="B35" s="5"/>
      <c r="C35" s="5"/>
      <c r="D35" s="5"/>
      <c r="E35" s="5"/>
      <c r="F35" s="6"/>
      <c r="G35" s="3"/>
      <c r="H35" s="58" t="s">
        <v>107</v>
      </c>
      <c r="I35" s="5"/>
      <c r="J35" s="5"/>
      <c r="K35" s="6"/>
      <c r="L35" s="3"/>
      <c r="M35" s="58" t="s">
        <v>108</v>
      </c>
      <c r="N35" s="6"/>
      <c r="O35" s="58" t="s">
        <v>109</v>
      </c>
      <c r="P35" s="5"/>
      <c r="Q35" s="6"/>
      <c r="R35" s="58" t="s">
        <v>110</v>
      </c>
      <c r="S35" s="6"/>
      <c r="T35" s="73"/>
      <c r="U35" s="3"/>
      <c r="V35" s="58" t="s">
        <v>111</v>
      </c>
      <c r="W35" s="6"/>
      <c r="X35" s="58" t="s">
        <v>109</v>
      </c>
      <c r="Y35" s="5"/>
      <c r="Z35" s="6"/>
      <c r="AA35" s="58" t="s">
        <v>110</v>
      </c>
      <c r="AB35" s="6"/>
      <c r="AC35" s="3"/>
    </row>
    <row r="36" ht="30.75" customHeight="1">
      <c r="A36" s="92"/>
      <c r="B36" s="93"/>
      <c r="C36" s="93"/>
      <c r="D36" s="93"/>
      <c r="E36" s="93"/>
      <c r="F36" s="94"/>
      <c r="G36" s="3"/>
      <c r="H36" s="92"/>
      <c r="I36" s="93"/>
      <c r="J36" s="93"/>
      <c r="K36" s="94"/>
      <c r="L36" s="3"/>
      <c r="M36" s="58"/>
      <c r="N36" s="5"/>
      <c r="O36" s="5"/>
      <c r="P36" s="5"/>
      <c r="Q36" s="5"/>
      <c r="R36" s="5"/>
      <c r="S36" s="6"/>
      <c r="T36" s="73"/>
      <c r="U36" s="3"/>
      <c r="V36" s="95" t="s">
        <v>112</v>
      </c>
      <c r="W36" s="95" t="s">
        <v>113</v>
      </c>
      <c r="X36" s="58"/>
      <c r="Y36" s="5"/>
      <c r="Z36" s="6"/>
      <c r="AA36" s="58"/>
      <c r="AB36" s="6"/>
      <c r="AC36" s="3"/>
    </row>
    <row r="37" ht="15.75" customHeight="1">
      <c r="A37" s="63" t="s">
        <v>114</v>
      </c>
      <c r="B37" s="5"/>
      <c r="C37" s="5"/>
      <c r="D37" s="5"/>
      <c r="E37" s="5"/>
      <c r="F37" s="6"/>
      <c r="G37" s="3"/>
      <c r="H37" s="74">
        <f>M30</f>
        <v>6765</v>
      </c>
      <c r="I37" s="5"/>
      <c r="J37" s="5"/>
      <c r="K37" s="6"/>
      <c r="L37" s="3"/>
      <c r="M37" s="74">
        <f>IF(Input!I10=0,0,IF(Input!I10&lt;=F11,E18,((Q26*12+T26+W26/30)*I18+(60-(Q26*12+T26+W26/30))*E18)/((5*360)/30)))</f>
        <v>14433.33333</v>
      </c>
      <c r="N37" s="6"/>
      <c r="O37" s="61">
        <f>Y13</f>
        <v>135</v>
      </c>
      <c r="P37" s="5"/>
      <c r="Q37" s="6"/>
      <c r="R37" s="77">
        <f>Y19</f>
        <v>6.101</v>
      </c>
      <c r="S37" s="6"/>
      <c r="T37" s="96"/>
      <c r="U37" s="3"/>
      <c r="V37" s="97">
        <f>IF(Input!I10&gt;'Pension Cal'!F11,0,AVERAGE(('Amount Cal'!G202:'Amount Cal'!R202)))</f>
        <v>0</v>
      </c>
      <c r="W37" s="97" t="str">
        <f>IF(Input!I10&lt;='Pension Cal'!F11,0,AVERAGE(('Amount Cal'!G202:'Amount Cal'!R202),('Amount Cal'!G204:'Amount Cal'!R204),('Amount Cal'!G206:'Amount Cal'!R206),('Amount Cal'!G208:'Amount Cal'!R208),('Amount Cal'!G210:'Amount Cal'!R210)))</f>
        <v>#REF!</v>
      </c>
      <c r="X37" s="61">
        <f>Y13</f>
        <v>135</v>
      </c>
      <c r="Y37" s="5"/>
      <c r="Z37" s="6"/>
      <c r="AA37" s="77">
        <f>Y19</f>
        <v>6.101</v>
      </c>
      <c r="AB37" s="6"/>
      <c r="AC37" s="3"/>
    </row>
    <row r="38" ht="15.75" customHeight="1">
      <c r="A38" s="7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0" customHeight="1">
      <c r="A39" s="79"/>
      <c r="B39" s="16"/>
      <c r="C39" s="17"/>
      <c r="D39" s="3"/>
      <c r="E39" s="72" t="s">
        <v>115</v>
      </c>
      <c r="F39" s="16"/>
      <c r="G39" s="16"/>
      <c r="H39" s="16"/>
      <c r="I39" s="16"/>
      <c r="J39" s="16"/>
      <c r="K39" s="17"/>
      <c r="L39" s="3"/>
      <c r="M39" s="98" t="s">
        <v>116</v>
      </c>
      <c r="N39" s="5"/>
      <c r="O39" s="5"/>
      <c r="P39" s="5"/>
      <c r="Q39" s="5"/>
      <c r="R39" s="5"/>
      <c r="S39" s="6"/>
      <c r="T39" s="99"/>
      <c r="U39" s="99"/>
      <c r="V39" s="3"/>
      <c r="W39" s="3"/>
      <c r="X39" s="99"/>
      <c r="Y39" s="99"/>
      <c r="Z39" s="99"/>
      <c r="AA39" s="99"/>
      <c r="AB39" s="99"/>
      <c r="AC39" s="3"/>
    </row>
    <row r="40" ht="15.0" customHeight="1">
      <c r="A40" s="26"/>
      <c r="B40" s="27"/>
      <c r="C40" s="28"/>
      <c r="D40" s="3"/>
      <c r="E40" s="26"/>
      <c r="F40" s="27"/>
      <c r="G40" s="27"/>
      <c r="H40" s="27"/>
      <c r="I40" s="27"/>
      <c r="J40" s="27"/>
      <c r="K40" s="28"/>
      <c r="L40" s="3"/>
      <c r="M40" s="98" t="s">
        <v>104</v>
      </c>
      <c r="N40" s="6"/>
      <c r="O40" s="99"/>
      <c r="P40" s="99"/>
      <c r="Q40" s="3"/>
      <c r="R40" s="98" t="s">
        <v>105</v>
      </c>
      <c r="S40" s="6"/>
      <c r="T40" s="99"/>
      <c r="U40" s="99"/>
      <c r="V40" s="3"/>
      <c r="W40" s="99"/>
      <c r="X40" s="99"/>
      <c r="Y40" s="99"/>
      <c r="Z40" s="99"/>
      <c r="AA40" s="99"/>
      <c r="AB40" s="99"/>
      <c r="AC40" s="3"/>
    </row>
    <row r="41" ht="15.0" customHeight="1">
      <c r="A41" s="100"/>
      <c r="B41" s="8"/>
      <c r="C41" s="8"/>
      <c r="D41" s="3"/>
      <c r="E41" s="89"/>
      <c r="F41" s="89"/>
      <c r="G41" s="89"/>
      <c r="H41" s="89"/>
      <c r="I41" s="89"/>
      <c r="J41" s="89"/>
      <c r="K41" s="89"/>
      <c r="L41" s="3"/>
      <c r="M41" s="101"/>
      <c r="N41" s="101"/>
      <c r="O41" s="101"/>
      <c r="P41" s="101"/>
      <c r="Q41" s="3"/>
      <c r="R41" s="101"/>
      <c r="S41" s="101"/>
      <c r="T41" s="101"/>
      <c r="U41" s="101"/>
      <c r="V41" s="3"/>
      <c r="W41" s="99"/>
      <c r="X41" s="99"/>
      <c r="Y41" s="99"/>
      <c r="Z41" s="99"/>
      <c r="AA41" s="99"/>
      <c r="AB41" s="99"/>
      <c r="AC41" s="3"/>
    </row>
    <row r="42" ht="15.0" customHeight="1">
      <c r="A42" s="79" t="s">
        <v>117</v>
      </c>
      <c r="B42" s="16"/>
      <c r="C42" s="17"/>
      <c r="D42" s="3"/>
      <c r="E42" s="80" t="s">
        <v>118</v>
      </c>
      <c r="F42" s="5"/>
      <c r="G42" s="5"/>
      <c r="H42" s="5"/>
      <c r="I42" s="5"/>
      <c r="J42" s="5"/>
      <c r="K42" s="6"/>
      <c r="L42" s="3"/>
      <c r="M42" s="74">
        <f>IF('Amount Cal'!G202=0,0,IF('Amount Cal'!G202&lt;=E18,(M31/360)*(E18/70),(M30/360)*(E18/70)))</f>
        <v>1744.940476</v>
      </c>
      <c r="N42" s="6"/>
      <c r="O42" s="3"/>
      <c r="P42" s="3"/>
      <c r="Q42" s="3"/>
      <c r="R42" s="102" t="str">
        <f>IF(Input!I10&lt;'Pension Cal'!F11,(V37/70)*(H37/360),(W37/70)*(H37/360))</f>
        <v>#REF!</v>
      </c>
      <c r="S42" s="17"/>
      <c r="T42" s="3"/>
      <c r="U42" s="3"/>
      <c r="V42" s="103"/>
      <c r="W42" s="81"/>
      <c r="X42" s="81"/>
      <c r="Y42" s="3"/>
      <c r="Z42" s="3"/>
      <c r="AA42" s="3"/>
      <c r="AB42" s="3"/>
      <c r="AC42" s="3"/>
    </row>
    <row r="43" ht="15.0" customHeight="1">
      <c r="A43" s="20"/>
      <c r="C43" s="21"/>
      <c r="D43" s="3"/>
      <c r="E43" s="80" t="s">
        <v>119</v>
      </c>
      <c r="F43" s="5"/>
      <c r="G43" s="5"/>
      <c r="H43" s="5"/>
      <c r="I43" s="5"/>
      <c r="J43" s="5"/>
      <c r="K43" s="6"/>
      <c r="L43" s="3"/>
      <c r="M43" s="74">
        <f>IF('Amount Cal'!G202=0,0,IF('Amount Cal'!G202&gt;E18,M37/70*M26/360,0))</f>
        <v>962.2222222</v>
      </c>
      <c r="N43" s="6"/>
      <c r="O43" s="3"/>
      <c r="P43" s="3"/>
      <c r="Q43" s="3"/>
      <c r="R43" s="26"/>
      <c r="S43" s="28"/>
      <c r="T43" s="3"/>
      <c r="U43" s="3"/>
      <c r="V43" s="103"/>
      <c r="W43" s="81"/>
      <c r="X43" s="81"/>
      <c r="Y43" s="3"/>
      <c r="Z43" s="3"/>
      <c r="AA43" s="3"/>
      <c r="AB43" s="3"/>
      <c r="AC43" s="3"/>
    </row>
    <row r="44" ht="15.75" customHeight="1">
      <c r="A44" s="20"/>
      <c r="C44" s="21"/>
      <c r="D44" s="3"/>
      <c r="E44" s="80" t="s">
        <v>120</v>
      </c>
      <c r="F44" s="5"/>
      <c r="G44" s="5"/>
      <c r="H44" s="5"/>
      <c r="I44" s="5"/>
      <c r="J44" s="5"/>
      <c r="K44" s="6"/>
      <c r="L44" s="3"/>
      <c r="M44" s="74">
        <f>IF('Amount Cal'!G202=0,0,IF(Input!I9=0,0,O37*R37))</f>
        <v>823.635</v>
      </c>
      <c r="N44" s="6"/>
      <c r="O44" s="3"/>
      <c r="P44" s="3"/>
      <c r="Q44" s="3"/>
      <c r="R44" s="74">
        <f>IF('Amount Cal'!G202=0,0,X37*AA37)</f>
        <v>823.635</v>
      </c>
      <c r="S44" s="6"/>
      <c r="T44" s="3"/>
      <c r="U44" s="3"/>
      <c r="V44" s="103"/>
      <c r="W44" s="81"/>
      <c r="X44" s="81"/>
      <c r="Y44" s="3"/>
      <c r="Z44" s="3"/>
      <c r="AA44" s="3"/>
      <c r="AB44" s="3"/>
      <c r="AC44" s="3"/>
    </row>
    <row r="45" ht="15.0" customHeight="1">
      <c r="A45" s="20"/>
      <c r="C45" s="21"/>
      <c r="D45" s="3"/>
      <c r="E45" s="80" t="s">
        <v>121</v>
      </c>
      <c r="F45" s="5"/>
      <c r="G45" s="5"/>
      <c r="H45" s="5"/>
      <c r="I45" s="5"/>
      <c r="J45" s="5"/>
      <c r="K45" s="6"/>
      <c r="L45" s="3"/>
      <c r="M45" s="74">
        <f>M42+M43+M44</f>
        <v>3530.797698</v>
      </c>
      <c r="N45" s="6"/>
      <c r="O45" s="3"/>
      <c r="P45" s="3"/>
      <c r="Q45" s="3"/>
      <c r="R45" s="74" t="str">
        <f>R42+R44</f>
        <v>#REF!</v>
      </c>
      <c r="S45" s="6"/>
      <c r="T45" s="3"/>
      <c r="U45" s="3"/>
      <c r="V45" s="103"/>
      <c r="W45" s="81"/>
      <c r="X45" s="81"/>
      <c r="Y45" s="3"/>
      <c r="Z45" s="3"/>
      <c r="AA45" s="3"/>
      <c r="AB45" s="3"/>
      <c r="AC45" s="3"/>
    </row>
    <row r="46" ht="18.75" customHeight="1">
      <c r="A46" s="26"/>
      <c r="B46" s="27"/>
      <c r="C46" s="28"/>
      <c r="D46" s="3"/>
      <c r="E46" s="83" t="s">
        <v>122</v>
      </c>
      <c r="F46" s="5"/>
      <c r="G46" s="5"/>
      <c r="H46" s="5"/>
      <c r="I46" s="5"/>
      <c r="J46" s="5"/>
      <c r="K46" s="6"/>
      <c r="L46" s="3"/>
      <c r="M46" s="104">
        <f>ROUND(M45,0)</f>
        <v>3531</v>
      </c>
      <c r="N46" s="6"/>
      <c r="O46" s="3"/>
      <c r="P46" s="3"/>
      <c r="Q46" s="3"/>
      <c r="R46" s="104" t="str">
        <f>ROUND(R45,0)</f>
        <v>#REF!</v>
      </c>
      <c r="S46" s="6"/>
      <c r="T46" s="3"/>
      <c r="U46" s="3"/>
      <c r="V46" s="3"/>
      <c r="W46" s="81"/>
      <c r="X46" s="81"/>
      <c r="Y46" s="105"/>
      <c r="Z46" s="105"/>
      <c r="AA46" s="105"/>
      <c r="AB46" s="105"/>
      <c r="AC46" s="3"/>
    </row>
    <row r="47" ht="15.75" customHeight="1">
      <c r="A47" s="79"/>
      <c r="B47" s="16"/>
      <c r="C47" s="17"/>
      <c r="D47" s="3"/>
      <c r="E47" s="80" t="s">
        <v>123</v>
      </c>
      <c r="F47" s="5"/>
      <c r="G47" s="5"/>
      <c r="H47" s="5"/>
      <c r="I47" s="5"/>
      <c r="J47" s="5"/>
      <c r="K47" s="6"/>
      <c r="L47" s="3"/>
      <c r="M47" s="74">
        <f>M46/2</f>
        <v>1765.5</v>
      </c>
      <c r="N47" s="6"/>
      <c r="O47" s="3"/>
      <c r="P47" s="3"/>
      <c r="Q47" s="3"/>
      <c r="R47" s="74" t="str">
        <f>R46/2</f>
        <v>#REF!</v>
      </c>
      <c r="S47" s="6"/>
      <c r="T47" s="3"/>
      <c r="U47" s="3"/>
      <c r="V47" s="3"/>
      <c r="W47" s="81"/>
      <c r="X47" s="81"/>
      <c r="Y47" s="3"/>
      <c r="Z47" s="3"/>
      <c r="AA47" s="3"/>
      <c r="AB47" s="3"/>
      <c r="AC47" s="3"/>
    </row>
    <row r="48" ht="15.75" customHeight="1">
      <c r="A48" s="20"/>
      <c r="C48" s="21"/>
      <c r="D48" s="3"/>
      <c r="E48" s="80" t="s">
        <v>124</v>
      </c>
      <c r="F48" s="5"/>
      <c r="G48" s="5"/>
      <c r="H48" s="5"/>
      <c r="I48" s="5"/>
      <c r="J48" s="5"/>
      <c r="K48" s="6"/>
      <c r="L48" s="3"/>
      <c r="M48" s="74">
        <f>ROUND(M47/4,0)</f>
        <v>441</v>
      </c>
      <c r="N48" s="6"/>
      <c r="O48" s="3"/>
      <c r="P48" s="3"/>
      <c r="Q48" s="3"/>
      <c r="R48" s="74" t="str">
        <f>ROUND(R47/4,0)</f>
        <v>#REF!</v>
      </c>
      <c r="S48" s="6"/>
      <c r="T48" s="3"/>
      <c r="U48" s="3"/>
      <c r="V48" s="3"/>
      <c r="W48" s="81"/>
      <c r="X48" s="81"/>
      <c r="Y48" s="3"/>
      <c r="Z48" s="3"/>
      <c r="AA48" s="3"/>
      <c r="AB48" s="3"/>
      <c r="AC48" s="3"/>
    </row>
    <row r="49" ht="15.75" customHeight="1">
      <c r="A49" s="26"/>
      <c r="B49" s="27"/>
      <c r="C49" s="28"/>
      <c r="D49" s="106"/>
      <c r="E49" s="80" t="s">
        <v>125</v>
      </c>
      <c r="F49" s="5"/>
      <c r="G49" s="5"/>
      <c r="H49" s="5"/>
      <c r="I49" s="5"/>
      <c r="J49" s="5"/>
      <c r="K49" s="6"/>
      <c r="L49" s="106"/>
      <c r="M49" s="74">
        <f>ROUND(M47*3/4,0)</f>
        <v>1324</v>
      </c>
      <c r="N49" s="6"/>
      <c r="O49" s="3"/>
      <c r="P49" s="3"/>
      <c r="Q49" s="3"/>
      <c r="R49" s="74" t="str">
        <f>ROUND(R47*3/4,0)</f>
        <v>#REF!</v>
      </c>
      <c r="S49" s="6"/>
      <c r="T49" s="3"/>
      <c r="U49" s="3"/>
      <c r="V49" s="3"/>
      <c r="W49" s="81"/>
      <c r="X49" s="81"/>
      <c r="Y49" s="3"/>
      <c r="Z49" s="3"/>
      <c r="AA49" s="3"/>
      <c r="AB49" s="3"/>
      <c r="AC49" s="3"/>
    </row>
    <row r="50" ht="15.75" customHeight="1">
      <c r="A50" s="8"/>
      <c r="B50" s="8"/>
      <c r="C50" s="8"/>
      <c r="D50" s="3"/>
      <c r="E50" s="107"/>
      <c r="F50" s="107"/>
      <c r="G50" s="107"/>
      <c r="H50" s="107"/>
      <c r="I50" s="107"/>
      <c r="J50" s="107"/>
      <c r="K50" s="107"/>
      <c r="L50" s="3"/>
      <c r="M50" s="108"/>
      <c r="N50" s="108"/>
      <c r="O50" s="108"/>
      <c r="P50" s="108"/>
      <c r="Q50" s="3"/>
      <c r="R50" s="108"/>
      <c r="S50" s="108"/>
      <c r="T50" s="108"/>
      <c r="U50" s="108"/>
      <c r="V50" s="3"/>
      <c r="W50" s="81"/>
      <c r="X50" s="81"/>
      <c r="Y50" s="3"/>
      <c r="Z50" s="3"/>
      <c r="AA50" s="3"/>
      <c r="AB50" s="3"/>
      <c r="AC50" s="3"/>
    </row>
    <row r="51" ht="15.75" customHeight="1">
      <c r="A51" s="83" t="s">
        <v>126</v>
      </c>
      <c r="B51" s="5"/>
      <c r="C51" s="6"/>
      <c r="D51" s="3"/>
      <c r="E51" s="83" t="s">
        <v>127</v>
      </c>
      <c r="F51" s="5"/>
      <c r="G51" s="5"/>
      <c r="H51" s="5"/>
      <c r="I51" s="5"/>
      <c r="J51" s="5"/>
      <c r="K51" s="6"/>
      <c r="L51" s="3"/>
      <c r="M51" s="104">
        <f>IF(Q32&lt;=0,0,IF(Q32=1,M46*(1-4/100),IF(Q32=2,M46*(1-8.16/100),IF(Q32=3,M46*(1-12.49/100),IF(Q32=4,M46*(1-16.99/100),IF(Q32=5,M46*(1-21.67/100),M46*(1-25/100)))))))</f>
        <v>0</v>
      </c>
      <c r="N51" s="6"/>
      <c r="O51" s="3"/>
      <c r="P51" s="3"/>
      <c r="Q51" s="3"/>
      <c r="R51" s="104">
        <f>IF(Q32&lt;=0,0,IF(Q32=1,R46*(1-4/100),IF(Q32=2,R46*(1-8.16/100),IF(Q32=3,R46*(1-12.49/100),IF(Q32=4,R46*(1-16.99/100),IF(Q32=5,R46*(1-21.67/100),R46*(1-25/100)))))))</f>
        <v>0</v>
      </c>
      <c r="S51" s="6"/>
      <c r="T51" s="3"/>
      <c r="U51" s="3"/>
      <c r="V51" s="3"/>
      <c r="W51" s="81"/>
      <c r="X51" s="81"/>
      <c r="Y51" s="3"/>
      <c r="Z51" s="3"/>
      <c r="AA51" s="3"/>
      <c r="AB51" s="3"/>
      <c r="AC51" s="3"/>
    </row>
    <row r="52" ht="15.75" customHeight="1">
      <c r="A52" s="83" t="s">
        <v>128</v>
      </c>
      <c r="B52" s="5"/>
      <c r="C52" s="6"/>
      <c r="D52" s="3"/>
      <c r="E52" s="83" t="s">
        <v>129</v>
      </c>
      <c r="F52" s="5"/>
      <c r="G52" s="5"/>
      <c r="H52" s="5"/>
      <c r="I52" s="5"/>
      <c r="J52" s="5"/>
      <c r="K52" s="6"/>
      <c r="L52" s="3"/>
      <c r="M52" s="104">
        <f>IF(Q32&lt;=0,0,IF(Q32=1,M46*(1+4/100),M46*(1+8.16/100)))</f>
        <v>0</v>
      </c>
      <c r="N52" s="6"/>
      <c r="O52" s="3"/>
      <c r="P52" s="3"/>
      <c r="Q52" s="3"/>
      <c r="R52" s="104">
        <f>IF(Q32&lt;=0,0,IF(Q32=1,R46*(1+4/100),R46*(1+8.16/100)))</f>
        <v>0</v>
      </c>
      <c r="S52" s="6"/>
      <c r="T52" s="3"/>
      <c r="U52" s="3"/>
      <c r="V52" s="3"/>
      <c r="W52" s="81"/>
      <c r="X52" s="81"/>
      <c r="Y52" s="3"/>
      <c r="Z52" s="3"/>
      <c r="AA52" s="3"/>
      <c r="AB52" s="3"/>
      <c r="AC52" s="3"/>
    </row>
    <row r="53" ht="15.75" hidden="1" customHeight="1">
      <c r="A53" s="3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hidden="1" customHeight="1">
      <c r="A54" s="3"/>
      <c r="B54" s="63" t="s">
        <v>130</v>
      </c>
      <c r="C54" s="5"/>
      <c r="D54" s="5"/>
      <c r="E54" s="5"/>
      <c r="F54" s="5"/>
      <c r="G54" s="5"/>
      <c r="H54" s="6"/>
      <c r="I54" s="8"/>
      <c r="J54" s="3"/>
      <c r="K54" s="63" t="s">
        <v>131</v>
      </c>
      <c r="L54" s="5"/>
      <c r="M54" s="5"/>
      <c r="N54" s="5"/>
      <c r="O54" s="5"/>
      <c r="P54" s="5"/>
      <c r="Q54" s="5"/>
      <c r="R54" s="5"/>
      <c r="S54" s="6"/>
      <c r="T54" s="8"/>
      <c r="U54" s="3"/>
      <c r="V54" s="63" t="s">
        <v>132</v>
      </c>
      <c r="W54" s="5"/>
      <c r="X54" s="5"/>
      <c r="Y54" s="5"/>
      <c r="Z54" s="5"/>
      <c r="AA54" s="5"/>
      <c r="AB54" s="6"/>
      <c r="AC54" s="3"/>
    </row>
    <row r="55" ht="15.0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63" t="s">
        <v>133</v>
      </c>
      <c r="L55" s="5"/>
      <c r="M55" s="5"/>
      <c r="N55" s="5"/>
      <c r="O55" s="5"/>
      <c r="P55" s="5"/>
      <c r="Q55" s="5"/>
      <c r="R55" s="5"/>
      <c r="S55" s="6"/>
      <c r="T55" s="8"/>
      <c r="U55" s="3"/>
      <c r="V55" s="63" t="s">
        <v>134</v>
      </c>
      <c r="W55" s="5"/>
      <c r="X55" s="5"/>
      <c r="Y55" s="5"/>
      <c r="Z55" s="5"/>
      <c r="AA55" s="5"/>
      <c r="AB55" s="6"/>
      <c r="AC55" s="3"/>
    </row>
    <row r="56" ht="15.0" hidden="1" customHeight="1">
      <c r="A56" s="3"/>
      <c r="B56" s="109" t="s">
        <v>135</v>
      </c>
      <c r="C56" s="110"/>
      <c r="D56" s="110"/>
      <c r="E56" s="110"/>
      <c r="F56" s="110"/>
      <c r="G56" s="110"/>
      <c r="H56" s="111"/>
      <c r="I56" s="3"/>
      <c r="J56" s="112"/>
      <c r="K56" s="113" t="s">
        <v>136</v>
      </c>
      <c r="L56" s="5"/>
      <c r="M56" s="5"/>
      <c r="N56" s="5"/>
      <c r="O56" s="5"/>
      <c r="P56" s="5"/>
      <c r="Q56" s="5"/>
      <c r="R56" s="5"/>
      <c r="S56" s="6"/>
      <c r="T56" s="3"/>
      <c r="U56" s="114"/>
      <c r="V56" s="113" t="s">
        <v>137</v>
      </c>
      <c r="W56" s="5"/>
      <c r="X56" s="5"/>
      <c r="Y56" s="5"/>
      <c r="Z56" s="5"/>
      <c r="AA56" s="5"/>
      <c r="AB56" s="6"/>
      <c r="AC56" s="3"/>
    </row>
    <row r="57" ht="15.0" hidden="1" customHeight="1">
      <c r="A57" s="3"/>
      <c r="B57" s="63" t="s">
        <v>138</v>
      </c>
      <c r="C57" s="6"/>
      <c r="D57" s="95" t="s">
        <v>139</v>
      </c>
      <c r="E57" s="63" t="s">
        <v>140</v>
      </c>
      <c r="F57" s="6"/>
      <c r="G57" s="63" t="s">
        <v>141</v>
      </c>
      <c r="H57" s="6"/>
      <c r="I57" s="8"/>
      <c r="J57" s="3"/>
      <c r="K57" s="63" t="s">
        <v>142</v>
      </c>
      <c r="L57" s="5"/>
      <c r="M57" s="6"/>
      <c r="N57" s="63"/>
      <c r="O57" s="5"/>
      <c r="P57" s="6"/>
      <c r="Q57" s="63"/>
      <c r="R57" s="5"/>
      <c r="S57" s="6"/>
      <c r="T57" s="8"/>
      <c r="U57" s="3"/>
      <c r="V57" s="63" t="s">
        <v>142</v>
      </c>
      <c r="W57" s="5"/>
      <c r="X57" s="6"/>
      <c r="Y57" s="115"/>
      <c r="Z57" s="63"/>
      <c r="AA57" s="5"/>
      <c r="AB57" s="6"/>
      <c r="AC57" s="3"/>
    </row>
    <row r="58" ht="15.0" hidden="1" customHeight="1">
      <c r="A58" s="3"/>
      <c r="B58" s="63">
        <v>1.0</v>
      </c>
      <c r="C58" s="6"/>
      <c r="D58" s="115">
        <v>0.0</v>
      </c>
      <c r="E58" s="63">
        <v>80.0</v>
      </c>
      <c r="F58" s="6"/>
      <c r="G58" s="63">
        <v>85.0</v>
      </c>
      <c r="H58" s="6"/>
      <c r="I58" s="8"/>
      <c r="J58" s="3"/>
      <c r="K58" s="116" t="s">
        <v>143</v>
      </c>
      <c r="L58" s="5"/>
      <c r="M58" s="6"/>
      <c r="N58" s="63" t="s">
        <v>144</v>
      </c>
      <c r="O58" s="5"/>
      <c r="P58" s="6"/>
      <c r="Q58" s="63" t="s">
        <v>145</v>
      </c>
      <c r="R58" s="5"/>
      <c r="S58" s="6"/>
      <c r="T58" s="8"/>
      <c r="U58" s="3"/>
      <c r="V58" s="116" t="s">
        <v>143</v>
      </c>
      <c r="W58" s="5"/>
      <c r="X58" s="6"/>
      <c r="Y58" s="115" t="s">
        <v>144</v>
      </c>
      <c r="Z58" s="63" t="s">
        <v>145</v>
      </c>
      <c r="AA58" s="5"/>
      <c r="AB58" s="6"/>
      <c r="AC58" s="3"/>
    </row>
    <row r="59" ht="15.0" hidden="1" customHeight="1">
      <c r="A59" s="3"/>
      <c r="B59" s="63">
        <v>2.0</v>
      </c>
      <c r="C59" s="6"/>
      <c r="D59" s="115">
        <v>1.0</v>
      </c>
      <c r="E59" s="63">
        <v>80.0</v>
      </c>
      <c r="F59" s="6"/>
      <c r="G59" s="63">
        <v>85.0</v>
      </c>
      <c r="H59" s="6"/>
      <c r="I59" s="8"/>
      <c r="J59" s="3"/>
      <c r="K59" s="116" t="s">
        <v>146</v>
      </c>
      <c r="L59" s="5"/>
      <c r="M59" s="6"/>
      <c r="N59" s="63">
        <v>0.0</v>
      </c>
      <c r="O59" s="5"/>
      <c r="P59" s="6"/>
      <c r="Q59" s="117">
        <v>1.039</v>
      </c>
      <c r="R59" s="5"/>
      <c r="S59" s="6"/>
      <c r="T59" s="118"/>
      <c r="U59" s="3"/>
      <c r="V59" s="116" t="s">
        <v>146</v>
      </c>
      <c r="W59" s="5"/>
      <c r="X59" s="6"/>
      <c r="Y59" s="95">
        <v>0.0</v>
      </c>
      <c r="Z59" s="77">
        <v>1.049</v>
      </c>
      <c r="AA59" s="5"/>
      <c r="AB59" s="6"/>
      <c r="AC59" s="3"/>
    </row>
    <row r="60" ht="15.0" hidden="1" customHeight="1">
      <c r="A60" s="3"/>
      <c r="B60" s="63">
        <v>3.0</v>
      </c>
      <c r="C60" s="6"/>
      <c r="D60" s="115">
        <v>2.0</v>
      </c>
      <c r="E60" s="63">
        <v>80.0</v>
      </c>
      <c r="F60" s="6"/>
      <c r="G60" s="63">
        <v>85.0</v>
      </c>
      <c r="H60" s="6"/>
      <c r="I60" s="8"/>
      <c r="J60" s="3"/>
      <c r="K60" s="116" t="s">
        <v>147</v>
      </c>
      <c r="L60" s="5"/>
      <c r="M60" s="6"/>
      <c r="N60" s="63">
        <v>1.0</v>
      </c>
      <c r="O60" s="5"/>
      <c r="P60" s="6"/>
      <c r="Q60" s="117">
        <v>1.122</v>
      </c>
      <c r="R60" s="5"/>
      <c r="S60" s="6"/>
      <c r="T60" s="118"/>
      <c r="U60" s="3"/>
      <c r="V60" s="116" t="s">
        <v>147</v>
      </c>
      <c r="W60" s="5"/>
      <c r="X60" s="6"/>
      <c r="Y60" s="95">
        <v>1.0</v>
      </c>
      <c r="Z60" s="77">
        <v>1.154</v>
      </c>
      <c r="AA60" s="5"/>
      <c r="AB60" s="6"/>
      <c r="AC60" s="3"/>
    </row>
    <row r="61" ht="15.0" hidden="1" customHeight="1">
      <c r="A61" s="3"/>
      <c r="B61" s="63">
        <v>4.0</v>
      </c>
      <c r="C61" s="6"/>
      <c r="D61" s="115">
        <v>3.0</v>
      </c>
      <c r="E61" s="63">
        <v>80.0</v>
      </c>
      <c r="F61" s="6"/>
      <c r="G61" s="63">
        <v>85.0</v>
      </c>
      <c r="H61" s="6"/>
      <c r="I61" s="8"/>
      <c r="J61" s="3"/>
      <c r="K61" s="116" t="s">
        <v>148</v>
      </c>
      <c r="L61" s="5"/>
      <c r="M61" s="6"/>
      <c r="N61" s="63">
        <v>2.0</v>
      </c>
      <c r="O61" s="5"/>
      <c r="P61" s="6"/>
      <c r="Q61" s="117">
        <v>1.212</v>
      </c>
      <c r="R61" s="5"/>
      <c r="S61" s="6"/>
      <c r="T61" s="118"/>
      <c r="U61" s="3"/>
      <c r="V61" s="116" t="s">
        <v>148</v>
      </c>
      <c r="W61" s="5"/>
      <c r="X61" s="6"/>
      <c r="Y61" s="95">
        <v>2.0</v>
      </c>
      <c r="Z61" s="77">
        <v>1.269</v>
      </c>
      <c r="AA61" s="5"/>
      <c r="AB61" s="6"/>
      <c r="AC61" s="3"/>
    </row>
    <row r="62" ht="15.0" hidden="1" customHeight="1">
      <c r="A62" s="3"/>
      <c r="B62" s="63">
        <v>5.0</v>
      </c>
      <c r="C62" s="6"/>
      <c r="D62" s="115">
        <v>4.0</v>
      </c>
      <c r="E62" s="63">
        <v>80.0</v>
      </c>
      <c r="F62" s="6"/>
      <c r="G62" s="63">
        <v>85.0</v>
      </c>
      <c r="H62" s="6"/>
      <c r="I62" s="8"/>
      <c r="J62" s="3"/>
      <c r="K62" s="116" t="s">
        <v>149</v>
      </c>
      <c r="L62" s="5"/>
      <c r="M62" s="6"/>
      <c r="N62" s="63">
        <v>3.0</v>
      </c>
      <c r="O62" s="5"/>
      <c r="P62" s="6"/>
      <c r="Q62" s="117">
        <v>1.309</v>
      </c>
      <c r="R62" s="5"/>
      <c r="S62" s="6"/>
      <c r="T62" s="118"/>
      <c r="U62" s="3"/>
      <c r="V62" s="116" t="s">
        <v>149</v>
      </c>
      <c r="W62" s="5"/>
      <c r="X62" s="6"/>
      <c r="Y62" s="95">
        <v>3.0</v>
      </c>
      <c r="Z62" s="77">
        <v>1.396</v>
      </c>
      <c r="AA62" s="5"/>
      <c r="AB62" s="6"/>
      <c r="AC62" s="3"/>
    </row>
    <row r="63" ht="15.0" hidden="1" customHeight="1">
      <c r="A63" s="3"/>
      <c r="B63" s="63">
        <v>6.0</v>
      </c>
      <c r="C63" s="6"/>
      <c r="D63" s="115">
        <v>5.0</v>
      </c>
      <c r="E63" s="63">
        <v>80.0</v>
      </c>
      <c r="F63" s="6"/>
      <c r="G63" s="63">
        <v>85.0</v>
      </c>
      <c r="H63" s="6"/>
      <c r="I63" s="8"/>
      <c r="J63" s="3"/>
      <c r="K63" s="116" t="s">
        <v>150</v>
      </c>
      <c r="L63" s="5"/>
      <c r="M63" s="6"/>
      <c r="N63" s="63">
        <v>4.0</v>
      </c>
      <c r="O63" s="5"/>
      <c r="P63" s="6"/>
      <c r="Q63" s="117">
        <v>1.413</v>
      </c>
      <c r="R63" s="5"/>
      <c r="S63" s="6"/>
      <c r="T63" s="118"/>
      <c r="U63" s="3"/>
      <c r="V63" s="116" t="s">
        <v>150</v>
      </c>
      <c r="W63" s="5"/>
      <c r="X63" s="6"/>
      <c r="Y63" s="95">
        <v>4.0</v>
      </c>
      <c r="Z63" s="77">
        <v>1.536</v>
      </c>
      <c r="AA63" s="5"/>
      <c r="AB63" s="6"/>
      <c r="AC63" s="3"/>
    </row>
    <row r="64" ht="15.0" hidden="1" customHeight="1">
      <c r="A64" s="3"/>
      <c r="B64" s="63">
        <v>7.0</v>
      </c>
      <c r="C64" s="6"/>
      <c r="D64" s="115">
        <v>6.0</v>
      </c>
      <c r="E64" s="63">
        <v>80.0</v>
      </c>
      <c r="F64" s="6"/>
      <c r="G64" s="63">
        <v>85.0</v>
      </c>
      <c r="H64" s="6"/>
      <c r="I64" s="8"/>
      <c r="J64" s="3"/>
      <c r="K64" s="116" t="s">
        <v>151</v>
      </c>
      <c r="L64" s="5"/>
      <c r="M64" s="6"/>
      <c r="N64" s="63">
        <v>5.0</v>
      </c>
      <c r="O64" s="5"/>
      <c r="P64" s="6"/>
      <c r="Q64" s="117">
        <v>1.526</v>
      </c>
      <c r="R64" s="5"/>
      <c r="S64" s="6"/>
      <c r="T64" s="118"/>
      <c r="U64" s="3"/>
      <c r="V64" s="116" t="s">
        <v>151</v>
      </c>
      <c r="W64" s="5"/>
      <c r="X64" s="6"/>
      <c r="Y64" s="95">
        <v>5.0</v>
      </c>
      <c r="Z64" s="77">
        <v>1.689</v>
      </c>
      <c r="AA64" s="5"/>
      <c r="AB64" s="6"/>
      <c r="AC64" s="3"/>
    </row>
    <row r="65" ht="15.0" hidden="1" customHeight="1">
      <c r="A65" s="3"/>
      <c r="B65" s="63">
        <v>8.0</v>
      </c>
      <c r="C65" s="6"/>
      <c r="D65" s="115">
        <v>7.0</v>
      </c>
      <c r="E65" s="63">
        <v>80.0</v>
      </c>
      <c r="F65" s="6"/>
      <c r="G65" s="63">
        <v>85.0</v>
      </c>
      <c r="H65" s="6"/>
      <c r="I65" s="8"/>
      <c r="J65" s="3"/>
      <c r="K65" s="116" t="s">
        <v>152</v>
      </c>
      <c r="L65" s="5"/>
      <c r="M65" s="6"/>
      <c r="N65" s="63">
        <v>6.0</v>
      </c>
      <c r="O65" s="5"/>
      <c r="P65" s="6"/>
      <c r="Q65" s="117">
        <v>1.649</v>
      </c>
      <c r="R65" s="5"/>
      <c r="S65" s="6"/>
      <c r="T65" s="118"/>
      <c r="U65" s="3"/>
      <c r="V65" s="116" t="s">
        <v>152</v>
      </c>
      <c r="W65" s="5"/>
      <c r="X65" s="6"/>
      <c r="Y65" s="95">
        <v>6.0</v>
      </c>
      <c r="Z65" s="77">
        <v>1.858</v>
      </c>
      <c r="AA65" s="5"/>
      <c r="AB65" s="6"/>
      <c r="AC65" s="3"/>
    </row>
    <row r="66" ht="15.0" hidden="1" customHeight="1">
      <c r="A66" s="3"/>
      <c r="B66" s="63">
        <v>9.0</v>
      </c>
      <c r="C66" s="6"/>
      <c r="D66" s="115">
        <v>8.0</v>
      </c>
      <c r="E66" s="63">
        <v>80.0</v>
      </c>
      <c r="F66" s="6"/>
      <c r="G66" s="63">
        <v>85.0</v>
      </c>
      <c r="H66" s="6"/>
      <c r="I66" s="8"/>
      <c r="J66" s="3"/>
      <c r="K66" s="116" t="s">
        <v>153</v>
      </c>
      <c r="L66" s="5"/>
      <c r="M66" s="6"/>
      <c r="N66" s="63">
        <v>7.0</v>
      </c>
      <c r="O66" s="5"/>
      <c r="P66" s="6"/>
      <c r="Q66" s="117">
        <v>1.781</v>
      </c>
      <c r="R66" s="5"/>
      <c r="S66" s="6"/>
      <c r="T66" s="118"/>
      <c r="U66" s="3"/>
      <c r="V66" s="116" t="s">
        <v>153</v>
      </c>
      <c r="W66" s="5"/>
      <c r="X66" s="6"/>
      <c r="Y66" s="95">
        <v>7.0</v>
      </c>
      <c r="Z66" s="77">
        <v>2.044</v>
      </c>
      <c r="AA66" s="5"/>
      <c r="AB66" s="6"/>
      <c r="AC66" s="3"/>
    </row>
    <row r="67" ht="15.0" hidden="1" customHeight="1">
      <c r="A67" s="3"/>
      <c r="B67" s="63">
        <v>10.0</v>
      </c>
      <c r="C67" s="6"/>
      <c r="D67" s="115">
        <v>9.0</v>
      </c>
      <c r="E67" s="63">
        <v>80.0</v>
      </c>
      <c r="F67" s="6"/>
      <c r="G67" s="63">
        <v>85.0</v>
      </c>
      <c r="H67" s="6"/>
      <c r="I67" s="8"/>
      <c r="J67" s="3"/>
      <c r="K67" s="116" t="s">
        <v>154</v>
      </c>
      <c r="L67" s="5"/>
      <c r="M67" s="6"/>
      <c r="N67" s="63">
        <v>8.0</v>
      </c>
      <c r="O67" s="5"/>
      <c r="P67" s="6"/>
      <c r="Q67" s="117">
        <v>1.923</v>
      </c>
      <c r="R67" s="5"/>
      <c r="S67" s="6"/>
      <c r="T67" s="118"/>
      <c r="U67" s="3"/>
      <c r="V67" s="116" t="s">
        <v>154</v>
      </c>
      <c r="W67" s="5"/>
      <c r="X67" s="6"/>
      <c r="Y67" s="95">
        <v>8.0</v>
      </c>
      <c r="Z67" s="77">
        <v>2.248</v>
      </c>
      <c r="AA67" s="5"/>
      <c r="AB67" s="6"/>
      <c r="AC67" s="3"/>
    </row>
    <row r="68" ht="15.0" hidden="1" customHeight="1">
      <c r="A68" s="3"/>
      <c r="B68" s="63">
        <v>11.0</v>
      </c>
      <c r="C68" s="6"/>
      <c r="D68" s="115">
        <v>10.0</v>
      </c>
      <c r="E68" s="63">
        <v>80.0</v>
      </c>
      <c r="F68" s="6"/>
      <c r="G68" s="63">
        <v>85.0</v>
      </c>
      <c r="H68" s="6"/>
      <c r="I68" s="8"/>
      <c r="J68" s="3"/>
      <c r="K68" s="116" t="s">
        <v>155</v>
      </c>
      <c r="L68" s="5"/>
      <c r="M68" s="6"/>
      <c r="N68" s="63">
        <v>9.0</v>
      </c>
      <c r="O68" s="5"/>
      <c r="P68" s="6"/>
      <c r="Q68" s="117">
        <v>2.077</v>
      </c>
      <c r="R68" s="5"/>
      <c r="S68" s="6"/>
      <c r="T68" s="118"/>
      <c r="U68" s="3"/>
      <c r="V68" s="116" t="s">
        <v>155</v>
      </c>
      <c r="W68" s="5"/>
      <c r="X68" s="6"/>
      <c r="Y68" s="95">
        <v>9.0</v>
      </c>
      <c r="Z68" s="77">
        <v>2.473</v>
      </c>
      <c r="AA68" s="5"/>
      <c r="AB68" s="6"/>
      <c r="AC68" s="3"/>
    </row>
    <row r="69" ht="15.0" hidden="1" customHeight="1">
      <c r="A69" s="3"/>
      <c r="B69" s="63">
        <v>12.0</v>
      </c>
      <c r="C69" s="6"/>
      <c r="D69" s="115">
        <v>11.0</v>
      </c>
      <c r="E69" s="63">
        <v>95.0</v>
      </c>
      <c r="F69" s="6"/>
      <c r="G69" s="63">
        <v>105.0</v>
      </c>
      <c r="H69" s="6"/>
      <c r="I69" s="8"/>
      <c r="J69" s="3"/>
      <c r="K69" s="116" t="s">
        <v>156</v>
      </c>
      <c r="L69" s="5"/>
      <c r="M69" s="6"/>
      <c r="N69" s="63">
        <v>10.0</v>
      </c>
      <c r="O69" s="5"/>
      <c r="P69" s="6"/>
      <c r="Q69" s="117">
        <v>2.243</v>
      </c>
      <c r="R69" s="5"/>
      <c r="S69" s="6"/>
      <c r="T69" s="118"/>
      <c r="U69" s="3"/>
      <c r="V69" s="116" t="s">
        <v>156</v>
      </c>
      <c r="W69" s="5"/>
      <c r="X69" s="6"/>
      <c r="Y69" s="95">
        <v>10.0</v>
      </c>
      <c r="Z69" s="77">
        <v>2.72</v>
      </c>
      <c r="AA69" s="5"/>
      <c r="AB69" s="6"/>
      <c r="AC69" s="3"/>
    </row>
    <row r="70" ht="15.0" hidden="1" customHeight="1">
      <c r="A70" s="3"/>
      <c r="B70" s="63">
        <v>13.0</v>
      </c>
      <c r="C70" s="6"/>
      <c r="D70" s="115">
        <v>12.0</v>
      </c>
      <c r="E70" s="63">
        <v>95.0</v>
      </c>
      <c r="F70" s="6"/>
      <c r="G70" s="63">
        <v>105.0</v>
      </c>
      <c r="H70" s="6"/>
      <c r="I70" s="8"/>
      <c r="J70" s="3"/>
      <c r="K70" s="116" t="s">
        <v>157</v>
      </c>
      <c r="L70" s="5"/>
      <c r="M70" s="6"/>
      <c r="N70" s="63">
        <v>11.0</v>
      </c>
      <c r="O70" s="5"/>
      <c r="P70" s="6"/>
      <c r="Q70" s="117">
        <v>2.423</v>
      </c>
      <c r="R70" s="5"/>
      <c r="S70" s="6"/>
      <c r="T70" s="118"/>
      <c r="U70" s="3"/>
      <c r="V70" s="116" t="s">
        <v>157</v>
      </c>
      <c r="W70" s="5"/>
      <c r="X70" s="6"/>
      <c r="Y70" s="95">
        <v>11.0</v>
      </c>
      <c r="Z70" s="77">
        <v>2.992</v>
      </c>
      <c r="AA70" s="5"/>
      <c r="AB70" s="6"/>
      <c r="AC70" s="3"/>
    </row>
    <row r="71" ht="15.0" hidden="1" customHeight="1">
      <c r="A71" s="3"/>
      <c r="B71" s="63">
        <v>14.0</v>
      </c>
      <c r="C71" s="6"/>
      <c r="D71" s="115">
        <v>13.0</v>
      </c>
      <c r="E71" s="63">
        <v>95.0</v>
      </c>
      <c r="F71" s="6"/>
      <c r="G71" s="63">
        <v>105.0</v>
      </c>
      <c r="H71" s="6"/>
      <c r="I71" s="8"/>
      <c r="J71" s="3"/>
      <c r="K71" s="116" t="s">
        <v>158</v>
      </c>
      <c r="L71" s="5"/>
      <c r="M71" s="6"/>
      <c r="N71" s="63">
        <v>12.0</v>
      </c>
      <c r="O71" s="5"/>
      <c r="P71" s="6"/>
      <c r="Q71" s="117">
        <v>2.616</v>
      </c>
      <c r="R71" s="5"/>
      <c r="S71" s="6"/>
      <c r="T71" s="118"/>
      <c r="U71" s="3"/>
      <c r="V71" s="116" t="s">
        <v>158</v>
      </c>
      <c r="W71" s="5"/>
      <c r="X71" s="6"/>
      <c r="Y71" s="95">
        <v>12.0</v>
      </c>
      <c r="Z71" s="77">
        <v>3.292</v>
      </c>
      <c r="AA71" s="5"/>
      <c r="AB71" s="6"/>
      <c r="AC71" s="3"/>
    </row>
    <row r="72" ht="15.0" hidden="1" customHeight="1">
      <c r="A72" s="3"/>
      <c r="B72" s="63">
        <v>15.0</v>
      </c>
      <c r="C72" s="6"/>
      <c r="D72" s="115">
        <v>14.0</v>
      </c>
      <c r="E72" s="63">
        <v>95.0</v>
      </c>
      <c r="F72" s="6"/>
      <c r="G72" s="63">
        <v>105.0</v>
      </c>
      <c r="H72" s="6"/>
      <c r="I72" s="8"/>
      <c r="J72" s="3"/>
      <c r="K72" s="116" t="s">
        <v>159</v>
      </c>
      <c r="L72" s="5"/>
      <c r="M72" s="6"/>
      <c r="N72" s="63">
        <v>13.0</v>
      </c>
      <c r="O72" s="5"/>
      <c r="P72" s="6"/>
      <c r="Q72" s="117">
        <v>2.826</v>
      </c>
      <c r="R72" s="5"/>
      <c r="S72" s="6"/>
      <c r="T72" s="118"/>
      <c r="U72" s="3"/>
      <c r="V72" s="116" t="s">
        <v>159</v>
      </c>
      <c r="W72" s="5"/>
      <c r="X72" s="6"/>
      <c r="Y72" s="95">
        <v>13.0</v>
      </c>
      <c r="Z72" s="77">
        <v>3.621</v>
      </c>
      <c r="AA72" s="5"/>
      <c r="AB72" s="6"/>
      <c r="AC72" s="3"/>
    </row>
    <row r="73" ht="15.0" hidden="1" customHeight="1">
      <c r="A73" s="3"/>
      <c r="B73" s="63">
        <v>16.0</v>
      </c>
      <c r="C73" s="6"/>
      <c r="D73" s="115">
        <v>15.0</v>
      </c>
      <c r="E73" s="63">
        <v>120.0</v>
      </c>
      <c r="F73" s="6"/>
      <c r="G73" s="63">
        <v>135.0</v>
      </c>
      <c r="H73" s="6"/>
      <c r="I73" s="8"/>
      <c r="J73" s="3"/>
      <c r="K73" s="116" t="s">
        <v>160</v>
      </c>
      <c r="L73" s="5"/>
      <c r="M73" s="6"/>
      <c r="N73" s="63">
        <v>14.0</v>
      </c>
      <c r="O73" s="5"/>
      <c r="P73" s="6"/>
      <c r="Q73" s="117">
        <v>3.052</v>
      </c>
      <c r="R73" s="5"/>
      <c r="S73" s="6"/>
      <c r="T73" s="118"/>
      <c r="U73" s="3"/>
      <c r="V73" s="116" t="s">
        <v>160</v>
      </c>
      <c r="W73" s="5"/>
      <c r="X73" s="6"/>
      <c r="Y73" s="95">
        <v>14.0</v>
      </c>
      <c r="Z73" s="77">
        <v>3.983</v>
      </c>
      <c r="AA73" s="5"/>
      <c r="AB73" s="6"/>
      <c r="AC73" s="3"/>
    </row>
    <row r="74" ht="15.0" hidden="1" customHeight="1">
      <c r="A74" s="3"/>
      <c r="B74" s="63">
        <v>17.0</v>
      </c>
      <c r="C74" s="6"/>
      <c r="D74" s="115">
        <v>16.0</v>
      </c>
      <c r="E74" s="63">
        <v>120.0</v>
      </c>
      <c r="F74" s="6"/>
      <c r="G74" s="63">
        <v>135.0</v>
      </c>
      <c r="H74" s="6"/>
      <c r="I74" s="8"/>
      <c r="J74" s="3"/>
      <c r="K74" s="116" t="s">
        <v>161</v>
      </c>
      <c r="L74" s="5"/>
      <c r="M74" s="6"/>
      <c r="N74" s="63">
        <v>15.0</v>
      </c>
      <c r="O74" s="5"/>
      <c r="P74" s="6"/>
      <c r="Q74" s="117">
        <v>3.296</v>
      </c>
      <c r="R74" s="5"/>
      <c r="S74" s="6"/>
      <c r="T74" s="118"/>
      <c r="U74" s="3"/>
      <c r="V74" s="116" t="s">
        <v>161</v>
      </c>
      <c r="W74" s="5"/>
      <c r="X74" s="6"/>
      <c r="Y74" s="95">
        <v>15.0</v>
      </c>
      <c r="Z74" s="77">
        <v>4.381</v>
      </c>
      <c r="AA74" s="5"/>
      <c r="AB74" s="6"/>
      <c r="AC74" s="3"/>
    </row>
    <row r="75" ht="15.0" hidden="1" customHeight="1">
      <c r="A75" s="3"/>
      <c r="B75" s="63">
        <v>18.0</v>
      </c>
      <c r="C75" s="6"/>
      <c r="D75" s="115">
        <v>17.0</v>
      </c>
      <c r="E75" s="63">
        <v>120.0</v>
      </c>
      <c r="F75" s="6"/>
      <c r="G75" s="63">
        <v>135.0</v>
      </c>
      <c r="H75" s="6"/>
      <c r="I75" s="8"/>
      <c r="J75" s="3"/>
      <c r="K75" s="116" t="s">
        <v>162</v>
      </c>
      <c r="L75" s="5"/>
      <c r="M75" s="6"/>
      <c r="N75" s="63">
        <v>16.0</v>
      </c>
      <c r="O75" s="5"/>
      <c r="P75" s="6"/>
      <c r="Q75" s="117">
        <v>3.56</v>
      </c>
      <c r="R75" s="5"/>
      <c r="S75" s="6"/>
      <c r="T75" s="118"/>
      <c r="U75" s="3"/>
      <c r="V75" s="116" t="s">
        <v>162</v>
      </c>
      <c r="W75" s="5"/>
      <c r="X75" s="6"/>
      <c r="Y75" s="95">
        <v>16.0</v>
      </c>
      <c r="Z75" s="77">
        <v>4.819</v>
      </c>
      <c r="AA75" s="5"/>
      <c r="AB75" s="6"/>
      <c r="AC75" s="3"/>
    </row>
    <row r="76" ht="15.0" hidden="1" customHeight="1">
      <c r="A76" s="3"/>
      <c r="B76" s="63">
        <v>19.0</v>
      </c>
      <c r="C76" s="6"/>
      <c r="D76" s="115">
        <v>18.0</v>
      </c>
      <c r="E76" s="63">
        <v>120.0</v>
      </c>
      <c r="F76" s="6"/>
      <c r="G76" s="63">
        <v>135.0</v>
      </c>
      <c r="H76" s="6"/>
      <c r="I76" s="8"/>
      <c r="J76" s="3"/>
      <c r="K76" s="116" t="s">
        <v>163</v>
      </c>
      <c r="L76" s="5"/>
      <c r="M76" s="6"/>
      <c r="N76" s="63">
        <v>17.0</v>
      </c>
      <c r="O76" s="5"/>
      <c r="P76" s="6"/>
      <c r="Q76" s="117">
        <v>3.845</v>
      </c>
      <c r="R76" s="5"/>
      <c r="S76" s="6"/>
      <c r="T76" s="118"/>
      <c r="U76" s="3"/>
      <c r="V76" s="116" t="s">
        <v>163</v>
      </c>
      <c r="W76" s="5"/>
      <c r="X76" s="6"/>
      <c r="Y76" s="95">
        <v>17.0</v>
      </c>
      <c r="Z76" s="77">
        <v>5.301</v>
      </c>
      <c r="AA76" s="5"/>
      <c r="AB76" s="6"/>
      <c r="AC76" s="3"/>
    </row>
    <row r="77" ht="15.0" hidden="1" customHeight="1">
      <c r="A77" s="3"/>
      <c r="B77" s="63">
        <v>20.0</v>
      </c>
      <c r="C77" s="6"/>
      <c r="D77" s="115">
        <v>19.0</v>
      </c>
      <c r="E77" s="63">
        <v>120.0</v>
      </c>
      <c r="F77" s="6"/>
      <c r="G77" s="63">
        <v>135.0</v>
      </c>
      <c r="H77" s="6"/>
      <c r="I77" s="8"/>
      <c r="J77" s="3"/>
      <c r="K77" s="116" t="s">
        <v>164</v>
      </c>
      <c r="L77" s="5"/>
      <c r="M77" s="6"/>
      <c r="N77" s="63">
        <v>18.0</v>
      </c>
      <c r="O77" s="5"/>
      <c r="P77" s="6"/>
      <c r="Q77" s="117">
        <v>4.152</v>
      </c>
      <c r="R77" s="5"/>
      <c r="S77" s="6"/>
      <c r="T77" s="118"/>
      <c r="U77" s="3"/>
      <c r="V77" s="116" t="s">
        <v>164</v>
      </c>
      <c r="W77" s="5"/>
      <c r="X77" s="6"/>
      <c r="Y77" s="95">
        <v>18.0</v>
      </c>
      <c r="Z77" s="77">
        <v>5.81</v>
      </c>
      <c r="AA77" s="5"/>
      <c r="AB77" s="6"/>
      <c r="AC77" s="3"/>
    </row>
    <row r="78" ht="15.0" hidden="1" customHeight="1">
      <c r="A78" s="3"/>
      <c r="B78" s="63">
        <v>21.0</v>
      </c>
      <c r="C78" s="6"/>
      <c r="D78" s="115">
        <v>20.0</v>
      </c>
      <c r="E78" s="63">
        <v>150.0</v>
      </c>
      <c r="F78" s="6"/>
      <c r="G78" s="63">
        <v>170.0</v>
      </c>
      <c r="H78" s="6"/>
      <c r="I78" s="8"/>
      <c r="J78" s="3"/>
      <c r="K78" s="116" t="s">
        <v>165</v>
      </c>
      <c r="L78" s="5"/>
      <c r="M78" s="6"/>
      <c r="N78" s="63">
        <v>19.0</v>
      </c>
      <c r="O78" s="5"/>
      <c r="P78" s="6"/>
      <c r="Q78" s="117">
        <v>4.485</v>
      </c>
      <c r="R78" s="5"/>
      <c r="S78" s="6"/>
      <c r="T78" s="118"/>
      <c r="U78" s="3"/>
      <c r="V78" s="116" t="s">
        <v>165</v>
      </c>
      <c r="W78" s="5"/>
      <c r="X78" s="6"/>
      <c r="Y78" s="95">
        <v>19.0</v>
      </c>
      <c r="Z78" s="77">
        <v>6.414</v>
      </c>
      <c r="AA78" s="5"/>
      <c r="AB78" s="6"/>
      <c r="AC78" s="3"/>
    </row>
    <row r="79" ht="15.0" hidden="1" customHeight="1">
      <c r="A79" s="3"/>
      <c r="B79" s="63">
        <v>22.0</v>
      </c>
      <c r="C79" s="6"/>
      <c r="D79" s="115">
        <v>21.0</v>
      </c>
      <c r="E79" s="63">
        <v>150.0</v>
      </c>
      <c r="F79" s="6"/>
      <c r="G79" s="63">
        <v>170.0</v>
      </c>
      <c r="H79" s="6"/>
      <c r="I79" s="8"/>
      <c r="J79" s="3"/>
      <c r="K79" s="116" t="s">
        <v>166</v>
      </c>
      <c r="L79" s="5"/>
      <c r="M79" s="6"/>
      <c r="N79" s="63">
        <v>20.0</v>
      </c>
      <c r="O79" s="5"/>
      <c r="P79" s="6"/>
      <c r="Q79" s="117">
        <v>4.843</v>
      </c>
      <c r="R79" s="5"/>
      <c r="S79" s="6"/>
      <c r="T79" s="118"/>
      <c r="U79" s="3"/>
      <c r="V79" s="116" t="s">
        <v>166</v>
      </c>
      <c r="W79" s="5"/>
      <c r="X79" s="6"/>
      <c r="Y79" s="95">
        <v>20.0</v>
      </c>
      <c r="Z79" s="77">
        <v>7.056</v>
      </c>
      <c r="AA79" s="5"/>
      <c r="AB79" s="6"/>
      <c r="AC79" s="3"/>
    </row>
    <row r="80" ht="15.0" hidden="1" customHeight="1">
      <c r="A80" s="3"/>
      <c r="B80" s="63">
        <v>23.0</v>
      </c>
      <c r="C80" s="6"/>
      <c r="D80" s="115">
        <v>22.0</v>
      </c>
      <c r="E80" s="63">
        <v>150.0</v>
      </c>
      <c r="F80" s="6"/>
      <c r="G80" s="63">
        <v>170.0</v>
      </c>
      <c r="H80" s="6"/>
      <c r="I80" s="8"/>
      <c r="J80" s="3"/>
      <c r="K80" s="116" t="s">
        <v>167</v>
      </c>
      <c r="L80" s="5"/>
      <c r="M80" s="6"/>
      <c r="N80" s="63">
        <v>21.0</v>
      </c>
      <c r="O80" s="5"/>
      <c r="P80" s="6"/>
      <c r="Q80" s="117">
        <v>5.231</v>
      </c>
      <c r="R80" s="5"/>
      <c r="S80" s="6"/>
      <c r="T80" s="118"/>
      <c r="U80" s="3"/>
      <c r="V80" s="116" t="s">
        <v>167</v>
      </c>
      <c r="W80" s="5"/>
      <c r="X80" s="6"/>
      <c r="Y80" s="95">
        <v>21.0</v>
      </c>
      <c r="Z80" s="77">
        <v>7.761</v>
      </c>
      <c r="AA80" s="5"/>
      <c r="AB80" s="6"/>
      <c r="AC80" s="3"/>
    </row>
    <row r="81" ht="15.0" hidden="1" customHeight="1">
      <c r="A81" s="3"/>
      <c r="B81" s="63">
        <v>24.0</v>
      </c>
      <c r="C81" s="6"/>
      <c r="D81" s="115">
        <v>23.0</v>
      </c>
      <c r="E81" s="63">
        <v>150.0</v>
      </c>
      <c r="F81" s="6"/>
      <c r="G81" s="63">
        <v>170.0</v>
      </c>
      <c r="H81" s="6"/>
      <c r="I81" s="8"/>
      <c r="J81" s="3"/>
      <c r="K81" s="116" t="s">
        <v>168</v>
      </c>
      <c r="L81" s="5"/>
      <c r="M81" s="6"/>
      <c r="N81" s="63">
        <v>22.0</v>
      </c>
      <c r="O81" s="5"/>
      <c r="P81" s="6"/>
      <c r="Q81" s="117">
        <v>5.649</v>
      </c>
      <c r="R81" s="5"/>
      <c r="S81" s="6"/>
      <c r="T81" s="118"/>
      <c r="U81" s="3"/>
      <c r="V81" s="116" t="s">
        <v>168</v>
      </c>
      <c r="W81" s="5"/>
      <c r="X81" s="6"/>
      <c r="Y81" s="95">
        <v>22.0</v>
      </c>
      <c r="Z81" s="77">
        <v>8.537</v>
      </c>
      <c r="AA81" s="5"/>
      <c r="AB81" s="6"/>
      <c r="AC81" s="3"/>
    </row>
    <row r="82" ht="15.0" hidden="1" customHeight="1">
      <c r="A82" s="3"/>
      <c r="B82" s="63">
        <v>25.0</v>
      </c>
      <c r="C82" s="6"/>
      <c r="D82" s="115">
        <v>24.0</v>
      </c>
      <c r="E82" s="63">
        <v>150.0</v>
      </c>
      <c r="F82" s="6"/>
      <c r="G82" s="63">
        <v>170.0</v>
      </c>
      <c r="H82" s="6"/>
      <c r="I82" s="8"/>
      <c r="J82" s="3"/>
      <c r="K82" s="116" t="s">
        <v>169</v>
      </c>
      <c r="L82" s="5"/>
      <c r="M82" s="6"/>
      <c r="N82" s="63">
        <v>23.0</v>
      </c>
      <c r="O82" s="5"/>
      <c r="P82" s="6"/>
      <c r="Q82" s="117">
        <v>6.101</v>
      </c>
      <c r="R82" s="5"/>
      <c r="S82" s="6"/>
      <c r="T82" s="118"/>
      <c r="U82" s="3"/>
      <c r="V82" s="116" t="s">
        <v>169</v>
      </c>
      <c r="W82" s="5"/>
      <c r="X82" s="6"/>
      <c r="Y82" s="95">
        <v>23.0</v>
      </c>
      <c r="Z82" s="77">
        <v>9.39</v>
      </c>
      <c r="AA82" s="5"/>
      <c r="AB82" s="6"/>
      <c r="AC82" s="3"/>
    </row>
    <row r="83" ht="15.75" hidden="1" customHeight="1">
      <c r="A83" s="3"/>
      <c r="B83" s="63">
        <v>26.0</v>
      </c>
      <c r="C83" s="6"/>
      <c r="D83" s="115">
        <v>25.0</v>
      </c>
      <c r="E83" s="63">
        <v>150.0</v>
      </c>
      <c r="F83" s="6"/>
      <c r="G83" s="63">
        <v>170.0</v>
      </c>
      <c r="H83" s="6"/>
      <c r="I83" s="8"/>
      <c r="J83" s="3"/>
      <c r="K83" s="116" t="s">
        <v>170</v>
      </c>
      <c r="L83" s="5"/>
      <c r="M83" s="6"/>
      <c r="N83" s="63">
        <v>24.0</v>
      </c>
      <c r="O83" s="5"/>
      <c r="P83" s="6"/>
      <c r="Q83" s="117">
        <v>6.589</v>
      </c>
      <c r="R83" s="5"/>
      <c r="S83" s="6"/>
      <c r="T83" s="118"/>
      <c r="U83" s="3"/>
      <c r="V83" s="119"/>
      <c r="W83" s="119"/>
      <c r="X83" s="119"/>
      <c r="Y83" s="3"/>
      <c r="Z83" s="3"/>
      <c r="AA83" s="3"/>
      <c r="AB83" s="3"/>
      <c r="AC83" s="3"/>
    </row>
    <row r="84" ht="15.75" hidden="1" customHeight="1">
      <c r="A84" s="3"/>
      <c r="B84" s="63">
        <v>27.0</v>
      </c>
      <c r="C84" s="6"/>
      <c r="D84" s="115">
        <v>26.0</v>
      </c>
      <c r="E84" s="63">
        <v>150.0</v>
      </c>
      <c r="F84" s="6"/>
      <c r="G84" s="63">
        <v>170.0</v>
      </c>
      <c r="H84" s="6"/>
      <c r="I84" s="8"/>
      <c r="J84" s="3"/>
      <c r="K84" s="116" t="s">
        <v>171</v>
      </c>
      <c r="L84" s="5"/>
      <c r="M84" s="6"/>
      <c r="N84" s="63">
        <v>25.0</v>
      </c>
      <c r="O84" s="5"/>
      <c r="P84" s="6"/>
      <c r="Q84" s="117">
        <v>7.117</v>
      </c>
      <c r="R84" s="5"/>
      <c r="S84" s="6"/>
      <c r="T84" s="118"/>
      <c r="U84" s="3"/>
      <c r="V84" s="119"/>
      <c r="W84" s="119"/>
      <c r="X84" s="119"/>
      <c r="Y84" s="3"/>
      <c r="Z84" s="3"/>
      <c r="AA84" s="3"/>
      <c r="AB84" s="3"/>
      <c r="AC84" s="3"/>
    </row>
    <row r="85" ht="15.75" hidden="1" customHeight="1">
      <c r="A85" s="3"/>
      <c r="B85" s="63">
        <v>28.0</v>
      </c>
      <c r="C85" s="6"/>
      <c r="D85" s="115">
        <v>27.0</v>
      </c>
      <c r="E85" s="63">
        <v>150.0</v>
      </c>
      <c r="F85" s="6"/>
      <c r="G85" s="63">
        <v>170.0</v>
      </c>
      <c r="H85" s="6"/>
      <c r="I85" s="8"/>
      <c r="J85" s="3"/>
      <c r="K85" s="116" t="s">
        <v>172</v>
      </c>
      <c r="L85" s="5"/>
      <c r="M85" s="6"/>
      <c r="N85" s="63">
        <v>26.0</v>
      </c>
      <c r="O85" s="5"/>
      <c r="P85" s="6"/>
      <c r="Q85" s="117">
        <v>7.686</v>
      </c>
      <c r="R85" s="5"/>
      <c r="S85" s="6"/>
      <c r="T85" s="118"/>
      <c r="U85" s="3"/>
      <c r="V85" s="119"/>
      <c r="W85" s="119"/>
      <c r="X85" s="119"/>
      <c r="Y85" s="3"/>
      <c r="Z85" s="3"/>
      <c r="AA85" s="3"/>
      <c r="AB85" s="3"/>
      <c r="AC85" s="3"/>
    </row>
    <row r="86" ht="15.75" hidden="1" customHeight="1">
      <c r="A86" s="3"/>
      <c r="B86" s="63">
        <v>29.0</v>
      </c>
      <c r="C86" s="6"/>
      <c r="D86" s="115">
        <v>28.0</v>
      </c>
      <c r="E86" s="63">
        <v>150.0</v>
      </c>
      <c r="F86" s="6"/>
      <c r="G86" s="63">
        <v>170.0</v>
      </c>
      <c r="H86" s="6"/>
      <c r="I86" s="8"/>
      <c r="J86" s="3"/>
      <c r="K86" s="116" t="s">
        <v>173</v>
      </c>
      <c r="L86" s="5"/>
      <c r="M86" s="6"/>
      <c r="N86" s="63">
        <v>27.0</v>
      </c>
      <c r="O86" s="5"/>
      <c r="P86" s="6"/>
      <c r="Q86" s="117">
        <v>8.301</v>
      </c>
      <c r="R86" s="5"/>
      <c r="S86" s="6"/>
      <c r="T86" s="118"/>
      <c r="U86" s="3"/>
      <c r="V86" s="119"/>
      <c r="W86" s="119"/>
      <c r="X86" s="119"/>
      <c r="Y86" s="3"/>
      <c r="Z86" s="3"/>
      <c r="AA86" s="3"/>
      <c r="AB86" s="3"/>
      <c r="AC86" s="3"/>
    </row>
    <row r="87" ht="15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116" t="s">
        <v>174</v>
      </c>
      <c r="L87" s="5"/>
      <c r="M87" s="6"/>
      <c r="N87" s="63">
        <v>28.0</v>
      </c>
      <c r="O87" s="5"/>
      <c r="P87" s="6"/>
      <c r="Q87" s="117">
        <v>8.965</v>
      </c>
      <c r="R87" s="5"/>
      <c r="S87" s="6"/>
      <c r="T87" s="118"/>
      <c r="U87" s="3"/>
      <c r="V87" s="119"/>
      <c r="W87" s="119"/>
      <c r="X87" s="119"/>
      <c r="Y87" s="3"/>
      <c r="Z87" s="3"/>
      <c r="AA87" s="3"/>
      <c r="AB87" s="3"/>
      <c r="AC87" s="3"/>
    </row>
    <row r="88" ht="15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116" t="s">
        <v>175</v>
      </c>
      <c r="L88" s="5"/>
      <c r="M88" s="6"/>
      <c r="N88" s="63">
        <v>29.0</v>
      </c>
      <c r="O88" s="5"/>
      <c r="P88" s="6"/>
      <c r="Q88" s="117">
        <v>9.682</v>
      </c>
      <c r="R88" s="5"/>
      <c r="S88" s="6"/>
      <c r="T88" s="118"/>
      <c r="U88" s="3"/>
      <c r="V88" s="119"/>
      <c r="W88" s="119"/>
      <c r="X88" s="119"/>
      <c r="Y88" s="3"/>
      <c r="Z88" s="3"/>
      <c r="AA88" s="3"/>
      <c r="AB88" s="3"/>
      <c r="AC88" s="3"/>
    </row>
    <row r="89" ht="15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116" t="s">
        <v>176</v>
      </c>
      <c r="L89" s="5"/>
      <c r="M89" s="6"/>
      <c r="N89" s="63">
        <v>30.0</v>
      </c>
      <c r="O89" s="5"/>
      <c r="P89" s="6"/>
      <c r="Q89" s="117">
        <v>10.457</v>
      </c>
      <c r="R89" s="5"/>
      <c r="S89" s="6"/>
      <c r="T89" s="118"/>
      <c r="U89" s="3"/>
      <c r="V89" s="119"/>
      <c r="W89" s="119"/>
      <c r="X89" s="119"/>
      <c r="Y89" s="3"/>
      <c r="Z89" s="3"/>
      <c r="AA89" s="3"/>
      <c r="AB89" s="3"/>
      <c r="AC89" s="3"/>
    </row>
    <row r="90" ht="15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116" t="s">
        <v>177</v>
      </c>
      <c r="L90" s="5"/>
      <c r="M90" s="6"/>
      <c r="N90" s="63">
        <v>31.0</v>
      </c>
      <c r="O90" s="5"/>
      <c r="P90" s="6"/>
      <c r="Q90" s="117">
        <v>11.294</v>
      </c>
      <c r="R90" s="5"/>
      <c r="S90" s="6"/>
      <c r="T90" s="118"/>
      <c r="U90" s="3"/>
      <c r="V90" s="119"/>
      <c r="W90" s="119"/>
      <c r="X90" s="119"/>
      <c r="Y90" s="3"/>
      <c r="Z90" s="3"/>
      <c r="AA90" s="3"/>
      <c r="AB90" s="3"/>
      <c r="AC90" s="3"/>
    </row>
    <row r="91" ht="15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116" t="s">
        <v>178</v>
      </c>
      <c r="L91" s="5"/>
      <c r="M91" s="6"/>
      <c r="N91" s="63">
        <v>32.0</v>
      </c>
      <c r="O91" s="5"/>
      <c r="P91" s="6"/>
      <c r="Q91" s="117">
        <v>12.197</v>
      </c>
      <c r="R91" s="5"/>
      <c r="S91" s="6"/>
      <c r="T91" s="118"/>
      <c r="U91" s="3"/>
      <c r="V91" s="119"/>
      <c r="W91" s="119"/>
      <c r="X91" s="119"/>
      <c r="Y91" s="3"/>
      <c r="Z91" s="3"/>
      <c r="AA91" s="3"/>
      <c r="AB91" s="3"/>
      <c r="AC91" s="3"/>
    </row>
    <row r="92" ht="15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116" t="s">
        <v>179</v>
      </c>
      <c r="L92" s="5"/>
      <c r="M92" s="6"/>
      <c r="N92" s="63">
        <v>33.0</v>
      </c>
      <c r="O92" s="5"/>
      <c r="P92" s="6"/>
      <c r="Q92" s="117">
        <v>13.173</v>
      </c>
      <c r="R92" s="5"/>
      <c r="S92" s="6"/>
      <c r="T92" s="118"/>
      <c r="U92" s="3"/>
      <c r="V92" s="119"/>
      <c r="W92" s="119"/>
      <c r="X92" s="119"/>
      <c r="Y92" s="3"/>
      <c r="Z92" s="3"/>
      <c r="AA92" s="3"/>
      <c r="AB92" s="3"/>
      <c r="AC92" s="3"/>
    </row>
    <row r="93" ht="15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448">
    <mergeCell ref="V18:X18"/>
    <mergeCell ref="Y18:AB18"/>
    <mergeCell ref="N19:X19"/>
    <mergeCell ref="Y19:AB19"/>
    <mergeCell ref="E16:G17"/>
    <mergeCell ref="I16:K17"/>
    <mergeCell ref="N16:AB16"/>
    <mergeCell ref="N17:U17"/>
    <mergeCell ref="V17:X17"/>
    <mergeCell ref="Y17:AB17"/>
    <mergeCell ref="N18:P18"/>
    <mergeCell ref="N7:U7"/>
    <mergeCell ref="V7:X7"/>
    <mergeCell ref="N8:U8"/>
    <mergeCell ref="V8:X8"/>
    <mergeCell ref="Y8:AB8"/>
    <mergeCell ref="N9:U9"/>
    <mergeCell ref="V9:X9"/>
    <mergeCell ref="Y9:AB9"/>
    <mergeCell ref="A1:AB1"/>
    <mergeCell ref="A2:AB2"/>
    <mergeCell ref="A4:AB4"/>
    <mergeCell ref="A6:B6"/>
    <mergeCell ref="C6:G6"/>
    <mergeCell ref="N6:AB6"/>
    <mergeCell ref="A7:G7"/>
    <mergeCell ref="Y7:AB7"/>
    <mergeCell ref="A10:E10"/>
    <mergeCell ref="F10:G10"/>
    <mergeCell ref="I10:J10"/>
    <mergeCell ref="N10:U10"/>
    <mergeCell ref="V10:X10"/>
    <mergeCell ref="Y10:AB10"/>
    <mergeCell ref="I6:J6"/>
    <mergeCell ref="I7:J7"/>
    <mergeCell ref="A8:G8"/>
    <mergeCell ref="I8:J8"/>
    <mergeCell ref="A9:E9"/>
    <mergeCell ref="F9:G9"/>
    <mergeCell ref="I9:J9"/>
    <mergeCell ref="N12:U12"/>
    <mergeCell ref="V12:X12"/>
    <mergeCell ref="N13:X13"/>
    <mergeCell ref="Y13:AB13"/>
    <mergeCell ref="A11:E11"/>
    <mergeCell ref="F11:G11"/>
    <mergeCell ref="N11:U11"/>
    <mergeCell ref="V11:X11"/>
    <mergeCell ref="Y11:AB11"/>
    <mergeCell ref="A12:E12"/>
    <mergeCell ref="F12:G12"/>
    <mergeCell ref="Y12:AB12"/>
    <mergeCell ref="Q18:R18"/>
    <mergeCell ref="S18:U18"/>
    <mergeCell ref="T22:U22"/>
    <mergeCell ref="T23:U23"/>
    <mergeCell ref="T24:U24"/>
    <mergeCell ref="W24:X24"/>
    <mergeCell ref="T25:U25"/>
    <mergeCell ref="W25:X25"/>
    <mergeCell ref="W26:X26"/>
    <mergeCell ref="W27:X27"/>
    <mergeCell ref="X37:Z37"/>
    <mergeCell ref="AA37:AB37"/>
    <mergeCell ref="T26:U26"/>
    <mergeCell ref="T27:U27"/>
    <mergeCell ref="V34:AB34"/>
    <mergeCell ref="X35:Z35"/>
    <mergeCell ref="AA35:AB35"/>
    <mergeCell ref="X36:Z36"/>
    <mergeCell ref="AA36:AB36"/>
    <mergeCell ref="M26:O26"/>
    <mergeCell ref="M27:O27"/>
    <mergeCell ref="E25:K25"/>
    <mergeCell ref="M25:O25"/>
    <mergeCell ref="Q25:R25"/>
    <mergeCell ref="E26:K26"/>
    <mergeCell ref="Q26:R26"/>
    <mergeCell ref="E27:K27"/>
    <mergeCell ref="Q27:R27"/>
    <mergeCell ref="T28:U28"/>
    <mergeCell ref="T29:U29"/>
    <mergeCell ref="E28:K28"/>
    <mergeCell ref="M28:O28"/>
    <mergeCell ref="Q28:R28"/>
    <mergeCell ref="W28:X28"/>
    <mergeCell ref="M29:O29"/>
    <mergeCell ref="Q29:R29"/>
    <mergeCell ref="W29:X29"/>
    <mergeCell ref="Q30:R30"/>
    <mergeCell ref="Q31:R31"/>
    <mergeCell ref="E29:K29"/>
    <mergeCell ref="E30:K30"/>
    <mergeCell ref="M30:O30"/>
    <mergeCell ref="T30:U30"/>
    <mergeCell ref="E31:K31"/>
    <mergeCell ref="M31:O31"/>
    <mergeCell ref="T31:U31"/>
    <mergeCell ref="H37:K37"/>
    <mergeCell ref="M37:N37"/>
    <mergeCell ref="O37:Q37"/>
    <mergeCell ref="R37:S37"/>
    <mergeCell ref="M34:S34"/>
    <mergeCell ref="H35:K35"/>
    <mergeCell ref="M35:N35"/>
    <mergeCell ref="O35:Q35"/>
    <mergeCell ref="R35:S35"/>
    <mergeCell ref="V35:W35"/>
    <mergeCell ref="M36:S36"/>
    <mergeCell ref="N73:P73"/>
    <mergeCell ref="Q73:S73"/>
    <mergeCell ref="K71:M71"/>
    <mergeCell ref="N71:P71"/>
    <mergeCell ref="Q71:S71"/>
    <mergeCell ref="K72:M72"/>
    <mergeCell ref="N72:P72"/>
    <mergeCell ref="Q72:S72"/>
    <mergeCell ref="K73:M73"/>
    <mergeCell ref="N64:P64"/>
    <mergeCell ref="Q64:S64"/>
    <mergeCell ref="K62:M62"/>
    <mergeCell ref="N62:P62"/>
    <mergeCell ref="Q62:S62"/>
    <mergeCell ref="K63:M63"/>
    <mergeCell ref="N63:P63"/>
    <mergeCell ref="Q63:S63"/>
    <mergeCell ref="K64:M64"/>
    <mergeCell ref="N67:P67"/>
    <mergeCell ref="Q67:S67"/>
    <mergeCell ref="K65:M65"/>
    <mergeCell ref="N65:P65"/>
    <mergeCell ref="Q65:S65"/>
    <mergeCell ref="K66:M66"/>
    <mergeCell ref="N66:P66"/>
    <mergeCell ref="Q66:S66"/>
    <mergeCell ref="K67:M67"/>
    <mergeCell ref="N70:P70"/>
    <mergeCell ref="Q70:S70"/>
    <mergeCell ref="K68:M68"/>
    <mergeCell ref="N68:P68"/>
    <mergeCell ref="Q68:S68"/>
    <mergeCell ref="K69:M69"/>
    <mergeCell ref="N69:P69"/>
    <mergeCell ref="Q69:S69"/>
    <mergeCell ref="K70:M70"/>
    <mergeCell ref="K74:M74"/>
    <mergeCell ref="N74:P74"/>
    <mergeCell ref="Q74:S74"/>
    <mergeCell ref="E77:F77"/>
    <mergeCell ref="G77:H77"/>
    <mergeCell ref="B75:C75"/>
    <mergeCell ref="E75:F75"/>
    <mergeCell ref="G75:H75"/>
    <mergeCell ref="B76:C76"/>
    <mergeCell ref="E76:F76"/>
    <mergeCell ref="G76:H76"/>
    <mergeCell ref="B77:C77"/>
    <mergeCell ref="E80:F80"/>
    <mergeCell ref="G80:H80"/>
    <mergeCell ref="B78:C78"/>
    <mergeCell ref="E78:F78"/>
    <mergeCell ref="G78:H78"/>
    <mergeCell ref="B79:C79"/>
    <mergeCell ref="E79:F79"/>
    <mergeCell ref="G79:H79"/>
    <mergeCell ref="B80:C80"/>
    <mergeCell ref="E83:F83"/>
    <mergeCell ref="G83:H83"/>
    <mergeCell ref="B81:C81"/>
    <mergeCell ref="E81:F81"/>
    <mergeCell ref="G81:H81"/>
    <mergeCell ref="B82:C82"/>
    <mergeCell ref="E82:F82"/>
    <mergeCell ref="G82:H82"/>
    <mergeCell ref="B83:C83"/>
    <mergeCell ref="B54:H54"/>
    <mergeCell ref="B56:H56"/>
    <mergeCell ref="B57:C57"/>
    <mergeCell ref="E57:F57"/>
    <mergeCell ref="G57:H57"/>
    <mergeCell ref="E58:F58"/>
    <mergeCell ref="G58:H58"/>
    <mergeCell ref="B58:C58"/>
    <mergeCell ref="B59:C59"/>
    <mergeCell ref="E59:F59"/>
    <mergeCell ref="G59:H59"/>
    <mergeCell ref="B60:C60"/>
    <mergeCell ref="G60:H60"/>
    <mergeCell ref="G61:H61"/>
    <mergeCell ref="E65:F65"/>
    <mergeCell ref="G65:H65"/>
    <mergeCell ref="B63:C63"/>
    <mergeCell ref="E63:F63"/>
    <mergeCell ref="G63:H63"/>
    <mergeCell ref="B64:C64"/>
    <mergeCell ref="E64:F64"/>
    <mergeCell ref="G64:H64"/>
    <mergeCell ref="B65:C65"/>
    <mergeCell ref="E68:F68"/>
    <mergeCell ref="G68:H68"/>
    <mergeCell ref="B66:C66"/>
    <mergeCell ref="E66:F66"/>
    <mergeCell ref="G66:H66"/>
    <mergeCell ref="B67:C67"/>
    <mergeCell ref="E67:F67"/>
    <mergeCell ref="G67:H67"/>
    <mergeCell ref="B68:C68"/>
    <mergeCell ref="E86:F86"/>
    <mergeCell ref="G86:H86"/>
    <mergeCell ref="B84:C84"/>
    <mergeCell ref="E84:F84"/>
    <mergeCell ref="G84:H84"/>
    <mergeCell ref="B85:C85"/>
    <mergeCell ref="E85:F85"/>
    <mergeCell ref="G85:H85"/>
    <mergeCell ref="B86:C86"/>
    <mergeCell ref="N87:P87"/>
    <mergeCell ref="Q87:S87"/>
    <mergeCell ref="K85:M85"/>
    <mergeCell ref="N85:P85"/>
    <mergeCell ref="Q85:S85"/>
    <mergeCell ref="K86:M86"/>
    <mergeCell ref="N86:P86"/>
    <mergeCell ref="Q86:S86"/>
    <mergeCell ref="K87:M87"/>
    <mergeCell ref="N90:P90"/>
    <mergeCell ref="Q90:S90"/>
    <mergeCell ref="K91:M91"/>
    <mergeCell ref="N91:P91"/>
    <mergeCell ref="Q91:S91"/>
    <mergeCell ref="K92:M92"/>
    <mergeCell ref="N92:P92"/>
    <mergeCell ref="Q92:S92"/>
    <mergeCell ref="K88:M88"/>
    <mergeCell ref="N88:P88"/>
    <mergeCell ref="Q88:S88"/>
    <mergeCell ref="K89:M89"/>
    <mergeCell ref="N89:P89"/>
    <mergeCell ref="Q89:S89"/>
    <mergeCell ref="K90:M90"/>
    <mergeCell ref="B72:C72"/>
    <mergeCell ref="E72:F72"/>
    <mergeCell ref="G72:H72"/>
    <mergeCell ref="B73:C73"/>
    <mergeCell ref="E73:F73"/>
    <mergeCell ref="G73:H73"/>
    <mergeCell ref="B74:C74"/>
    <mergeCell ref="E74:F74"/>
    <mergeCell ref="G74:H74"/>
    <mergeCell ref="K75:M75"/>
    <mergeCell ref="N75:P75"/>
    <mergeCell ref="Q75:S75"/>
    <mergeCell ref="N76:P76"/>
    <mergeCell ref="Q76:S76"/>
    <mergeCell ref="K76:M76"/>
    <mergeCell ref="K77:M77"/>
    <mergeCell ref="N77:P77"/>
    <mergeCell ref="Q77:S77"/>
    <mergeCell ref="K78:M78"/>
    <mergeCell ref="N78:P78"/>
    <mergeCell ref="Q78:S78"/>
    <mergeCell ref="N81:P81"/>
    <mergeCell ref="Q81:S81"/>
    <mergeCell ref="K79:M79"/>
    <mergeCell ref="N79:P79"/>
    <mergeCell ref="Q79:S79"/>
    <mergeCell ref="K80:M80"/>
    <mergeCell ref="N80:P80"/>
    <mergeCell ref="Q80:S80"/>
    <mergeCell ref="K81:M81"/>
    <mergeCell ref="N84:P84"/>
    <mergeCell ref="Q84:S84"/>
    <mergeCell ref="K82:M82"/>
    <mergeCell ref="N82:P82"/>
    <mergeCell ref="Q82:S82"/>
    <mergeCell ref="K83:M83"/>
    <mergeCell ref="N83:P83"/>
    <mergeCell ref="Q83:S83"/>
    <mergeCell ref="K84:M84"/>
    <mergeCell ref="I11:J11"/>
    <mergeCell ref="I12:J12"/>
    <mergeCell ref="A13:G13"/>
    <mergeCell ref="I13:J13"/>
    <mergeCell ref="A14:G14"/>
    <mergeCell ref="I14:J14"/>
    <mergeCell ref="A16:C17"/>
    <mergeCell ref="E21:K21"/>
    <mergeCell ref="M21:O21"/>
    <mergeCell ref="Q21:R21"/>
    <mergeCell ref="T21:U21"/>
    <mergeCell ref="W21:X21"/>
    <mergeCell ref="A21:C21"/>
    <mergeCell ref="E22:K22"/>
    <mergeCell ref="M22:O22"/>
    <mergeCell ref="Q22:R22"/>
    <mergeCell ref="W22:X22"/>
    <mergeCell ref="M23:O23"/>
    <mergeCell ref="Q23:R23"/>
    <mergeCell ref="W23:X23"/>
    <mergeCell ref="E23:K23"/>
    <mergeCell ref="E24:K24"/>
    <mergeCell ref="M24:O24"/>
    <mergeCell ref="Q24:R24"/>
    <mergeCell ref="A18:C18"/>
    <mergeCell ref="E18:G18"/>
    <mergeCell ref="I18:K18"/>
    <mergeCell ref="A19:C19"/>
    <mergeCell ref="E19:G19"/>
    <mergeCell ref="I19:K19"/>
    <mergeCell ref="A22:C24"/>
    <mergeCell ref="W30:X30"/>
    <mergeCell ref="W31:X31"/>
    <mergeCell ref="E32:K32"/>
    <mergeCell ref="M32:O32"/>
    <mergeCell ref="Q32:R32"/>
    <mergeCell ref="T32:U32"/>
    <mergeCell ref="W32:X32"/>
    <mergeCell ref="E43:K43"/>
    <mergeCell ref="E44:K44"/>
    <mergeCell ref="E45:K45"/>
    <mergeCell ref="E47:K47"/>
    <mergeCell ref="E39:K40"/>
    <mergeCell ref="M40:N40"/>
    <mergeCell ref="A42:C46"/>
    <mergeCell ref="E42:K42"/>
    <mergeCell ref="M42:N42"/>
    <mergeCell ref="M43:N43"/>
    <mergeCell ref="A47:C49"/>
    <mergeCell ref="A25:C27"/>
    <mergeCell ref="A28:C31"/>
    <mergeCell ref="A32:C32"/>
    <mergeCell ref="A35:F35"/>
    <mergeCell ref="A37:F37"/>
    <mergeCell ref="A39:C40"/>
    <mergeCell ref="M39:S39"/>
    <mergeCell ref="R40:S40"/>
    <mergeCell ref="M44:N44"/>
    <mergeCell ref="M45:N45"/>
    <mergeCell ref="E46:K46"/>
    <mergeCell ref="M46:N46"/>
    <mergeCell ref="M47:N47"/>
    <mergeCell ref="E48:K48"/>
    <mergeCell ref="M48:N48"/>
    <mergeCell ref="E49:K49"/>
    <mergeCell ref="M49:N49"/>
    <mergeCell ref="R42:S43"/>
    <mergeCell ref="R44:S44"/>
    <mergeCell ref="R45:S45"/>
    <mergeCell ref="R46:S46"/>
    <mergeCell ref="R47:S47"/>
    <mergeCell ref="R48:S48"/>
    <mergeCell ref="R49:S49"/>
    <mergeCell ref="K54:S54"/>
    <mergeCell ref="V54:AB54"/>
    <mergeCell ref="V55:AB55"/>
    <mergeCell ref="V56:AB56"/>
    <mergeCell ref="V57:X57"/>
    <mergeCell ref="Z57:AB57"/>
    <mergeCell ref="Z58:AB58"/>
    <mergeCell ref="R51:S51"/>
    <mergeCell ref="R52:S52"/>
    <mergeCell ref="A51:C51"/>
    <mergeCell ref="E51:K51"/>
    <mergeCell ref="M51:N51"/>
    <mergeCell ref="A52:C52"/>
    <mergeCell ref="E52:K52"/>
    <mergeCell ref="M52:N52"/>
    <mergeCell ref="K55:S55"/>
    <mergeCell ref="K56:S56"/>
    <mergeCell ref="K57:M57"/>
    <mergeCell ref="N57:P57"/>
    <mergeCell ref="Q57:S57"/>
    <mergeCell ref="K58:M58"/>
    <mergeCell ref="N58:P58"/>
    <mergeCell ref="Q58:S58"/>
    <mergeCell ref="E60:F60"/>
    <mergeCell ref="E61:F61"/>
    <mergeCell ref="E62:F62"/>
    <mergeCell ref="G62:H62"/>
    <mergeCell ref="N61:P61"/>
    <mergeCell ref="Q61:S61"/>
    <mergeCell ref="B61:C61"/>
    <mergeCell ref="B62:C62"/>
    <mergeCell ref="K59:M59"/>
    <mergeCell ref="N59:P59"/>
    <mergeCell ref="Q59:S59"/>
    <mergeCell ref="K60:M60"/>
    <mergeCell ref="N60:P60"/>
    <mergeCell ref="Q60:S60"/>
    <mergeCell ref="K61:M61"/>
    <mergeCell ref="E71:F71"/>
    <mergeCell ref="G71:H71"/>
    <mergeCell ref="B69:C69"/>
    <mergeCell ref="E69:F69"/>
    <mergeCell ref="G69:H69"/>
    <mergeCell ref="B70:C70"/>
    <mergeCell ref="E70:F70"/>
    <mergeCell ref="G70:H70"/>
    <mergeCell ref="B71:C71"/>
    <mergeCell ref="Z81:AB81"/>
    <mergeCell ref="Z82:AB82"/>
    <mergeCell ref="Z74:AB74"/>
    <mergeCell ref="Z75:AB75"/>
    <mergeCell ref="Z76:AB76"/>
    <mergeCell ref="Z77:AB77"/>
    <mergeCell ref="Z78:AB78"/>
    <mergeCell ref="Z79:AB79"/>
    <mergeCell ref="Z80:AB80"/>
    <mergeCell ref="Z61:AB61"/>
    <mergeCell ref="Z62:AB62"/>
    <mergeCell ref="V58:X58"/>
    <mergeCell ref="V59:X59"/>
    <mergeCell ref="Z59:AB59"/>
    <mergeCell ref="V60:X60"/>
    <mergeCell ref="Z60:AB60"/>
    <mergeCell ref="V61:X61"/>
    <mergeCell ref="V62:X62"/>
    <mergeCell ref="V63:X63"/>
    <mergeCell ref="Z63:AB63"/>
    <mergeCell ref="V64:X64"/>
    <mergeCell ref="Z64:AB64"/>
    <mergeCell ref="V65:X65"/>
    <mergeCell ref="Z65:AB65"/>
    <mergeCell ref="Z66:AB66"/>
    <mergeCell ref="V66:X66"/>
    <mergeCell ref="V67:X67"/>
    <mergeCell ref="V68:X68"/>
    <mergeCell ref="V69:X69"/>
    <mergeCell ref="V70:X70"/>
    <mergeCell ref="V71:X71"/>
    <mergeCell ref="V72:X72"/>
    <mergeCell ref="Z67:AB67"/>
    <mergeCell ref="Z68:AB68"/>
    <mergeCell ref="Z69:AB69"/>
    <mergeCell ref="Z70:AB70"/>
    <mergeCell ref="Z71:AB71"/>
    <mergeCell ref="Z72:AB72"/>
    <mergeCell ref="Z73:AB73"/>
    <mergeCell ref="V80:X80"/>
    <mergeCell ref="V81:X81"/>
    <mergeCell ref="V82:X82"/>
    <mergeCell ref="V73:X73"/>
    <mergeCell ref="V74:X74"/>
    <mergeCell ref="V75:X75"/>
    <mergeCell ref="V76:X76"/>
    <mergeCell ref="V77:X77"/>
    <mergeCell ref="V78:X78"/>
    <mergeCell ref="V79:X79"/>
  </mergeCells>
  <printOptions horizontalCentered="1"/>
  <pageMargins bottom="0.25" footer="0.0" header="0.0" left="0.25" right="0.25" top="0.2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9.57"/>
    <col customWidth="1" min="3" max="3" width="9.14"/>
    <col customWidth="1" min="4" max="4" width="5.57"/>
    <col customWidth="1" min="5" max="5" width="15.71"/>
    <col customWidth="1" min="6" max="6" width="23.71"/>
    <col customWidth="1" min="7" max="7" width="10.86"/>
    <col customWidth="1" min="8" max="8" width="11.57"/>
    <col customWidth="1" min="9" max="9" width="11.29"/>
    <col customWidth="1" min="10" max="10" width="10.86"/>
    <col customWidth="1" min="11" max="11" width="13.43"/>
    <col customWidth="1" min="12" max="12" width="10.86"/>
    <col customWidth="1" min="13" max="14" width="11.57"/>
    <col customWidth="1" min="15" max="15" width="11.29"/>
    <col customWidth="1" min="16" max="16" width="10.86"/>
    <col customWidth="1" min="17" max="17" width="13.43"/>
    <col customWidth="1" min="18" max="18" width="10.86"/>
    <col customWidth="1" min="19" max="19" width="12.0"/>
    <col customWidth="1" min="20" max="20" width="11.71"/>
    <col customWidth="1" min="21" max="21" width="10.0"/>
    <col customWidth="1" min="22" max="22" width="11.29"/>
    <col customWidth="1" min="23" max="26" width="9.14"/>
  </cols>
  <sheetData>
    <row r="1" ht="18.0" customHeight="1">
      <c r="A1" s="41" t="s">
        <v>54</v>
      </c>
      <c r="B1" s="41" t="s">
        <v>180</v>
      </c>
      <c r="C1" s="3"/>
      <c r="D1" s="4" t="s">
        <v>181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3"/>
      <c r="X1" s="3"/>
      <c r="Y1" s="3"/>
      <c r="Z1" s="3"/>
    </row>
    <row r="2" ht="15.0" customHeight="1">
      <c r="A2" s="120">
        <v>34790.0</v>
      </c>
      <c r="B2" s="115"/>
      <c r="C2" s="3"/>
      <c r="D2" s="7" t="s">
        <v>182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3"/>
      <c r="X2" s="3"/>
      <c r="Y2" s="3"/>
      <c r="Z2" s="3"/>
    </row>
    <row r="3" ht="18.0" customHeight="1">
      <c r="A3" s="120">
        <v>34820.0</v>
      </c>
      <c r="B3" s="11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120">
        <v>34851.0</v>
      </c>
      <c r="B4" s="121"/>
      <c r="C4" s="1"/>
      <c r="D4" s="55" t="s">
        <v>52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1"/>
      <c r="X4" s="1"/>
      <c r="Y4" s="1"/>
      <c r="Z4" s="1"/>
    </row>
    <row r="5" ht="29.25" customHeight="1">
      <c r="A5" s="120">
        <v>34881.0</v>
      </c>
      <c r="B5" s="115"/>
      <c r="C5" s="3"/>
      <c r="D5" s="8"/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0">
        <v>34912.0</v>
      </c>
      <c r="B6" s="115"/>
      <c r="C6" s="3"/>
      <c r="D6" s="56" t="s">
        <v>6</v>
      </c>
      <c r="E6" s="6"/>
      <c r="F6" s="3"/>
      <c r="G6" s="122" t="s">
        <v>183</v>
      </c>
      <c r="H6" s="123" t="s">
        <v>184</v>
      </c>
      <c r="I6" s="122" t="s">
        <v>185</v>
      </c>
      <c r="J6" s="123" t="s">
        <v>186</v>
      </c>
      <c r="K6" s="123" t="s">
        <v>187</v>
      </c>
      <c r="L6" s="3"/>
      <c r="M6" s="124" t="s">
        <v>183</v>
      </c>
      <c r="N6" s="125" t="s">
        <v>184</v>
      </c>
      <c r="O6" s="124" t="s">
        <v>185</v>
      </c>
      <c r="P6" s="125" t="s">
        <v>186</v>
      </c>
      <c r="Q6" s="125" t="s">
        <v>187</v>
      </c>
      <c r="R6" s="3"/>
      <c r="S6" s="126" t="s">
        <v>183</v>
      </c>
      <c r="T6" s="127" t="s">
        <v>184</v>
      </c>
      <c r="U6" s="127" t="s">
        <v>186</v>
      </c>
      <c r="V6" s="127" t="s">
        <v>187</v>
      </c>
      <c r="W6" s="3"/>
      <c r="X6" s="3"/>
      <c r="Y6" s="3"/>
      <c r="Z6" s="3"/>
    </row>
    <row r="7" ht="14.25" customHeight="1">
      <c r="A7" s="120">
        <v>34943.0</v>
      </c>
      <c r="B7" s="115"/>
      <c r="C7" s="3"/>
      <c r="D7" s="128" t="str">
        <f>Input!K8</f>
        <v>VARRINDER KAUR RAINA</v>
      </c>
      <c r="E7" s="6"/>
      <c r="F7" s="3"/>
      <c r="G7" s="122" t="s">
        <v>188</v>
      </c>
      <c r="H7" s="129">
        <v>34344.0</v>
      </c>
      <c r="I7" s="130" t="s">
        <v>189</v>
      </c>
      <c r="J7" s="131">
        <v>5000.0</v>
      </c>
      <c r="K7" s="123">
        <v>417.0</v>
      </c>
      <c r="L7" s="3"/>
      <c r="M7" s="124" t="s">
        <v>190</v>
      </c>
      <c r="N7" s="132">
        <v>37043.0</v>
      </c>
      <c r="O7" s="132" t="s">
        <v>191</v>
      </c>
      <c r="P7" s="133">
        <v>6500.0</v>
      </c>
      <c r="Q7" s="125">
        <v>541.0</v>
      </c>
      <c r="R7" s="3"/>
      <c r="S7" s="126" t="s">
        <v>192</v>
      </c>
      <c r="T7" s="134">
        <v>41883.0</v>
      </c>
      <c r="U7" s="135">
        <v>15000.0</v>
      </c>
      <c r="V7" s="135">
        <v>1250.0</v>
      </c>
      <c r="W7" s="3"/>
      <c r="X7" s="3"/>
      <c r="Y7" s="3"/>
      <c r="Z7" s="3"/>
    </row>
    <row r="8">
      <c r="A8" s="120">
        <v>34973.0</v>
      </c>
      <c r="B8" s="11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0">
        <v>35004.0</v>
      </c>
      <c r="B9" s="136"/>
      <c r="C9" s="73"/>
      <c r="D9" s="137" t="s">
        <v>11</v>
      </c>
      <c r="E9" s="50"/>
      <c r="F9" s="50"/>
      <c r="G9" s="50"/>
      <c r="H9" s="50"/>
      <c r="I9" s="138"/>
      <c r="J9" s="137" t="s">
        <v>14</v>
      </c>
      <c r="K9" s="50"/>
      <c r="L9" s="50"/>
      <c r="M9" s="50"/>
      <c r="N9" s="50"/>
      <c r="O9" s="138"/>
      <c r="P9" s="73"/>
      <c r="Q9" s="137" t="s">
        <v>193</v>
      </c>
      <c r="R9" s="50"/>
      <c r="S9" s="50"/>
      <c r="T9" s="50"/>
      <c r="U9" s="50"/>
      <c r="V9" s="138"/>
      <c r="W9" s="73"/>
      <c r="X9" s="73"/>
      <c r="Y9" s="73"/>
      <c r="Z9" s="73"/>
    </row>
    <row r="10">
      <c r="A10" s="120">
        <v>35034.0</v>
      </c>
      <c r="B10" s="139" t="str">
        <f>Input!O16</f>
        <v/>
      </c>
      <c r="C10" s="3"/>
      <c r="D10" s="140" t="s">
        <v>53</v>
      </c>
      <c r="E10" s="141" t="s">
        <v>54</v>
      </c>
      <c r="F10" s="141" t="s">
        <v>55</v>
      </c>
      <c r="G10" s="3"/>
      <c r="H10" s="3"/>
      <c r="I10" s="142"/>
      <c r="J10" s="140" t="s">
        <v>53</v>
      </c>
      <c r="K10" s="141" t="s">
        <v>54</v>
      </c>
      <c r="L10" s="141" t="s">
        <v>55</v>
      </c>
      <c r="M10" s="3"/>
      <c r="N10" s="3"/>
      <c r="O10" s="142"/>
      <c r="P10" s="3"/>
      <c r="Q10" s="143" t="s">
        <v>53</v>
      </c>
      <c r="R10" s="95" t="s">
        <v>54</v>
      </c>
      <c r="S10" s="95" t="s">
        <v>55</v>
      </c>
      <c r="T10" s="3"/>
      <c r="U10" s="3"/>
      <c r="V10" s="142"/>
      <c r="W10" s="3"/>
      <c r="X10" s="3"/>
      <c r="Y10" s="3"/>
      <c r="Z10" s="3"/>
    </row>
    <row r="11">
      <c r="A11" s="120">
        <v>35065.0</v>
      </c>
      <c r="B11" s="139" t="str">
        <f>Input!P16</f>
        <v/>
      </c>
      <c r="C11" s="3"/>
      <c r="D11" s="144">
        <f>IF(Input!I10=0,0,YEAR(Input!I10))</f>
        <v>2019</v>
      </c>
      <c r="E11" s="145">
        <f>IF(Input!I10=0,0,MONTH(Input!I10))</f>
        <v>5</v>
      </c>
      <c r="F11" s="145">
        <f>IF(Input!I10=0,0,DAY(Input!I10))</f>
        <v>1</v>
      </c>
      <c r="G11" s="146">
        <f>IF(Input!I10=0,1,DATE(D11,E11,1))</f>
        <v>43586</v>
      </c>
      <c r="H11" s="145">
        <f>E11+1</f>
        <v>6</v>
      </c>
      <c r="I11" s="147">
        <f>IF(Input!I10=0,1,DATE(D11,H11,1))</f>
        <v>43617</v>
      </c>
      <c r="J11" s="144">
        <f>IF(Input!I11=0,0,YEAR(Input!I11))</f>
        <v>2019</v>
      </c>
      <c r="K11" s="145">
        <f>IF(Input!I11=0,0,MONTH(Input!I11))</f>
        <v>5</v>
      </c>
      <c r="L11" s="145">
        <f>IF(Input!I11=0,0,DAY(Input!I11))</f>
        <v>1</v>
      </c>
      <c r="M11" s="146">
        <f>IF(Input!I11=0,1,DATE(J11,K11,1))</f>
        <v>43586</v>
      </c>
      <c r="N11" s="145">
        <f>K11+1</f>
        <v>6</v>
      </c>
      <c r="O11" s="147">
        <f>IF(Input!I11=0,1,DATE(J11,N11,1))</f>
        <v>43617</v>
      </c>
      <c r="P11" s="3"/>
      <c r="Q11" s="148">
        <f>IF(Input!O11=0,0,YEAR(Input!O11))</f>
        <v>2019</v>
      </c>
      <c r="R11" s="145">
        <f>IF(Input!O11=0,0,MONTH(Input!O11))</f>
        <v>5</v>
      </c>
      <c r="S11" s="145">
        <f>IF(Input!O11=0,0,DAY(Input!O11))</f>
        <v>1</v>
      </c>
      <c r="T11" s="146">
        <f>IF(Input!O11=0,1,DATE(Q11,R11,1))</f>
        <v>43586</v>
      </c>
      <c r="U11" s="145">
        <f>R11-1</f>
        <v>4</v>
      </c>
      <c r="V11" s="147">
        <f>IF(Input!O11=0,1,DATE(Q11,U11,1))</f>
        <v>43556</v>
      </c>
      <c r="W11" s="3"/>
      <c r="X11" s="3"/>
      <c r="Y11" s="3"/>
      <c r="Z11" s="3"/>
    </row>
    <row r="12">
      <c r="A12" s="120">
        <v>35096.0</v>
      </c>
      <c r="B12" s="139" t="str">
        <f>Input!Q16</f>
        <v/>
      </c>
      <c r="C12" s="3"/>
      <c r="D12" s="8"/>
      <c r="E12" s="149"/>
      <c r="F12" s="8"/>
      <c r="G12" s="106"/>
      <c r="H12" s="106"/>
      <c r="I12" s="106"/>
      <c r="J12" s="106"/>
      <c r="K12" s="106"/>
      <c r="L12" s="150"/>
      <c r="M12" s="3"/>
      <c r="N12" s="3"/>
      <c r="O12" s="3"/>
      <c r="P12" s="8"/>
      <c r="Q12" s="149"/>
      <c r="R12" s="8"/>
      <c r="S12" s="149"/>
      <c r="T12" s="8"/>
      <c r="U12" s="149"/>
      <c r="V12" s="150"/>
      <c r="W12" s="3"/>
      <c r="X12" s="3"/>
      <c r="Y12" s="3"/>
      <c r="Z12" s="3"/>
    </row>
    <row r="13" ht="14.25" customHeight="1">
      <c r="A13" s="120">
        <v>35125.0</v>
      </c>
      <c r="B13" s="139" t="str">
        <f>Input!R16</f>
        <v/>
      </c>
      <c r="C13" s="3"/>
      <c r="D13" s="151" t="s">
        <v>15</v>
      </c>
      <c r="E13" s="151" t="s">
        <v>194</v>
      </c>
      <c r="F13" s="151" t="s">
        <v>54</v>
      </c>
      <c r="G13" s="151" t="s">
        <v>195</v>
      </c>
      <c r="H13" s="151" t="s">
        <v>196</v>
      </c>
      <c r="I13" s="151" t="s">
        <v>197</v>
      </c>
      <c r="J13" s="151" t="s">
        <v>198</v>
      </c>
      <c r="K13" s="151" t="s">
        <v>199</v>
      </c>
      <c r="L13" s="151" t="s">
        <v>200</v>
      </c>
      <c r="M13" s="151" t="s">
        <v>201</v>
      </c>
      <c r="N13" s="151" t="s">
        <v>202</v>
      </c>
      <c r="O13" s="151" t="s">
        <v>203</v>
      </c>
      <c r="P13" s="151" t="s">
        <v>204</v>
      </c>
      <c r="Q13" s="151" t="s">
        <v>205</v>
      </c>
      <c r="R13" s="151" t="s">
        <v>206</v>
      </c>
      <c r="S13" s="151" t="s">
        <v>121</v>
      </c>
      <c r="T13" s="83" t="s">
        <v>207</v>
      </c>
      <c r="U13" s="5"/>
      <c r="V13" s="5"/>
      <c r="W13" s="3"/>
      <c r="X13" s="3"/>
      <c r="Y13" s="3"/>
      <c r="Z13" s="3"/>
    </row>
    <row r="14">
      <c r="A14" s="120">
        <v>35156.0</v>
      </c>
      <c r="B14" s="139" t="str">
        <f>Input!G$18</f>
        <v/>
      </c>
      <c r="C14" s="89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2"/>
      <c r="T14" s="153" t="s">
        <v>208</v>
      </c>
      <c r="U14" s="154" t="s">
        <v>209</v>
      </c>
      <c r="V14" s="86" t="s">
        <v>121</v>
      </c>
      <c r="W14" s="89"/>
      <c r="X14" s="89"/>
      <c r="Y14" s="89"/>
      <c r="Z14" s="89"/>
    </row>
    <row r="15">
      <c r="A15" s="120">
        <v>35186.0</v>
      </c>
      <c r="B15" s="139" t="str">
        <f>Input!H$18</f>
        <v/>
      </c>
      <c r="C15" s="3"/>
      <c r="D15" s="95">
        <v>1.0</v>
      </c>
      <c r="E15" s="95" t="s">
        <v>20</v>
      </c>
      <c r="F15" s="155" t="s">
        <v>210</v>
      </c>
      <c r="G15" s="115"/>
      <c r="H15" s="115"/>
      <c r="I15" s="115"/>
      <c r="J15" s="115"/>
      <c r="K15" s="115"/>
      <c r="L15" s="115"/>
      <c r="M15" s="115"/>
      <c r="N15" s="115"/>
      <c r="O15" s="38">
        <v>35034.0</v>
      </c>
      <c r="P15" s="41">
        <v>35065.0</v>
      </c>
      <c r="Q15" s="41">
        <v>35096.0</v>
      </c>
      <c r="R15" s="41">
        <v>35125.0</v>
      </c>
      <c r="S15" s="97">
        <f>SUM(Input!O16:R16)</f>
        <v>0</v>
      </c>
      <c r="T15" s="153"/>
      <c r="U15" s="151"/>
      <c r="V15" s="83"/>
      <c r="W15" s="3"/>
      <c r="X15" s="3"/>
      <c r="Y15" s="3"/>
      <c r="Z15" s="3"/>
    </row>
    <row r="16">
      <c r="A16" s="120">
        <v>35217.0</v>
      </c>
      <c r="B16" s="139" t="str">
        <f>Input!I$18</f>
        <v/>
      </c>
      <c r="C16" s="3"/>
      <c r="D16" s="95"/>
      <c r="E16" s="95"/>
      <c r="F16" s="156" t="s">
        <v>211</v>
      </c>
      <c r="G16" s="157"/>
      <c r="H16" s="157"/>
      <c r="I16" s="157"/>
      <c r="J16" s="157"/>
      <c r="K16" s="157"/>
      <c r="L16" s="157"/>
      <c r="M16" s="157"/>
      <c r="N16" s="157"/>
      <c r="O16" s="158">
        <f>IF(Input!O16=0,0,INT((Input!O16*8.33/100)+0.5))</f>
        <v>0</v>
      </c>
      <c r="P16" s="159">
        <f>IF(Input!P16=0,0,INT((Input!P16*8.33/100)+0.5))</f>
        <v>0</v>
      </c>
      <c r="Q16" s="159">
        <f>IF(Input!Q16=0,0,INT((Input!Q16*8.33/100)+0.5))</f>
        <v>0</v>
      </c>
      <c r="R16" s="159">
        <f>IF(Input!R16=0,0,INT((Input!R16*8.33/100)+0.5))</f>
        <v>0</v>
      </c>
      <c r="S16" s="160">
        <f t="shared" ref="S16:S18" si="1">SUM(O16:R16)</f>
        <v>0</v>
      </c>
      <c r="T16" s="153"/>
      <c r="U16" s="151"/>
      <c r="V16" s="83"/>
      <c r="W16" s="3"/>
      <c r="X16" s="3"/>
      <c r="Y16" s="3"/>
      <c r="Z16" s="3"/>
    </row>
    <row r="17">
      <c r="A17" s="120">
        <v>35247.0</v>
      </c>
      <c r="B17" s="139" t="str">
        <f>Input!J$18</f>
        <v/>
      </c>
      <c r="C17" s="3"/>
      <c r="D17" s="95"/>
      <c r="E17" s="95"/>
      <c r="F17" s="156" t="s">
        <v>212</v>
      </c>
      <c r="G17" s="157"/>
      <c r="H17" s="157"/>
      <c r="I17" s="157"/>
      <c r="J17" s="157"/>
      <c r="K17" s="157"/>
      <c r="L17" s="157"/>
      <c r="M17" s="157"/>
      <c r="N17" s="157"/>
      <c r="O17" s="158">
        <f>IF(2*Input!O16&lt;=$J$7,INT((Input!O16*8.33%)+0.5),INT(($J$7*8.33%)/2+0.5))</f>
        <v>0</v>
      </c>
      <c r="P17" s="160">
        <f>IF(Input!P16&lt;=$J$7,INT((Input!P16*8.33%)+0.5),INT(($J$7*8.33%)+0.5))</f>
        <v>0</v>
      </c>
      <c r="Q17" s="160">
        <f>IF(Input!Q16&lt;=$J$7,INT((Input!Q16*8.33%)+0.5),INT(($J$7*8.33%)+0.5))</f>
        <v>0</v>
      </c>
      <c r="R17" s="160">
        <f>IF(Input!R16&lt;=$J$7,INT((Input!R16*8.33%)+0.5),INT(($J$7*8.33%)+0.5))</f>
        <v>0</v>
      </c>
      <c r="S17" s="160">
        <f t="shared" si="1"/>
        <v>0</v>
      </c>
      <c r="T17" s="153"/>
      <c r="U17" s="151"/>
      <c r="V17" s="83"/>
      <c r="W17" s="3"/>
      <c r="X17" s="3"/>
      <c r="Y17" s="3"/>
      <c r="Z17" s="3"/>
    </row>
    <row r="18">
      <c r="A18" s="120">
        <v>35278.0</v>
      </c>
      <c r="B18" s="139" t="str">
        <f>Input!K$18</f>
        <v/>
      </c>
      <c r="C18" s="3"/>
      <c r="D18" s="95"/>
      <c r="E18" s="95"/>
      <c r="F18" s="156" t="s">
        <v>213</v>
      </c>
      <c r="G18" s="157"/>
      <c r="H18" s="157"/>
      <c r="I18" s="157"/>
      <c r="J18" s="157"/>
      <c r="K18" s="157"/>
      <c r="L18" s="157"/>
      <c r="M18" s="157"/>
      <c r="N18" s="157"/>
      <c r="O18" s="158">
        <f t="shared" ref="O18:R18" si="2">IF(O16-O17&lt;=0,0,O16-O17)</f>
        <v>0</v>
      </c>
      <c r="P18" s="160">
        <f t="shared" si="2"/>
        <v>0</v>
      </c>
      <c r="Q18" s="160">
        <f t="shared" si="2"/>
        <v>0</v>
      </c>
      <c r="R18" s="160">
        <f t="shared" si="2"/>
        <v>0</v>
      </c>
      <c r="S18" s="160">
        <f t="shared" si="1"/>
        <v>0</v>
      </c>
      <c r="T18" s="153"/>
      <c r="U18" s="151"/>
      <c r="V18" s="83"/>
      <c r="W18" s="3"/>
      <c r="X18" s="3"/>
      <c r="Y18" s="3"/>
      <c r="Z18" s="3"/>
    </row>
    <row r="19">
      <c r="A19" s="120">
        <v>35309.0</v>
      </c>
      <c r="B19" s="139" t="str">
        <f>Input!L$18</f>
        <v/>
      </c>
      <c r="C19" s="3"/>
      <c r="D19" s="95"/>
      <c r="E19" s="161" t="s">
        <v>214</v>
      </c>
      <c r="F19" s="156" t="s">
        <v>215</v>
      </c>
      <c r="G19" s="157"/>
      <c r="H19" s="157"/>
      <c r="I19" s="157"/>
      <c r="J19" s="157"/>
      <c r="K19" s="157"/>
      <c r="L19" s="157"/>
      <c r="M19" s="157"/>
      <c r="N19" s="157"/>
      <c r="O19" s="158">
        <f>IF(O15=0,0,IF($T$11&lt;=Input!O14,0,N18+N19))</f>
        <v>0</v>
      </c>
      <c r="P19" s="160">
        <f>IF(P15=0,0,IF($T$11&lt;=Input!P15,0,O18+O19))</f>
        <v>0</v>
      </c>
      <c r="Q19" s="160">
        <f>IF(Q15=0,0,IF($T$11&lt;=Input!Q15,0,P18+P19))</f>
        <v>0</v>
      </c>
      <c r="R19" s="160">
        <f>IF(R15=0,0,IF($T$11&lt;=Input!R15,0,Q18+Q19))</f>
        <v>0</v>
      </c>
      <c r="S19" s="160"/>
      <c r="T19" s="162">
        <f>SUM(O18:R18)</f>
        <v>0</v>
      </c>
      <c r="U19" s="160">
        <f>SUM(P20:R20)</f>
        <v>0</v>
      </c>
      <c r="V19" s="163">
        <f>SUM(T19,U19)</f>
        <v>0</v>
      </c>
      <c r="W19" s="3"/>
      <c r="X19" s="3"/>
      <c r="Y19" s="3"/>
      <c r="Z19" s="3"/>
    </row>
    <row r="20">
      <c r="A20" s="120">
        <v>35339.0</v>
      </c>
      <c r="B20" s="139" t="str">
        <f>Input!M$18</f>
        <v/>
      </c>
      <c r="C20" s="3"/>
      <c r="D20" s="95"/>
      <c r="E20" s="164">
        <v>0.12</v>
      </c>
      <c r="F20" s="165" t="s">
        <v>216</v>
      </c>
      <c r="G20" s="157"/>
      <c r="H20" s="157"/>
      <c r="I20" s="157"/>
      <c r="J20" s="157"/>
      <c r="K20" s="157"/>
      <c r="L20" s="157"/>
      <c r="M20" s="157"/>
      <c r="N20" s="157"/>
      <c r="O20" s="166">
        <f t="shared" ref="O20:R20" si="3">O19/12*$E20</f>
        <v>0</v>
      </c>
      <c r="P20" s="167">
        <f t="shared" si="3"/>
        <v>0</v>
      </c>
      <c r="Q20" s="167">
        <f t="shared" si="3"/>
        <v>0</v>
      </c>
      <c r="R20" s="167">
        <f t="shared" si="3"/>
        <v>0</v>
      </c>
      <c r="S20" s="167">
        <f>SUM(O20:R20)</f>
        <v>0</v>
      </c>
      <c r="T20" s="168">
        <f t="shared" ref="T20:V20" si="4">SUM(T19)</f>
        <v>0</v>
      </c>
      <c r="U20" s="169">
        <f t="shared" si="4"/>
        <v>0</v>
      </c>
      <c r="V20" s="170">
        <f t="shared" si="4"/>
        <v>0</v>
      </c>
      <c r="W20" s="3"/>
      <c r="X20" s="3"/>
      <c r="Y20" s="3"/>
      <c r="Z20" s="3"/>
    </row>
    <row r="21" ht="15.75" customHeight="1">
      <c r="A21" s="120">
        <v>35370.0</v>
      </c>
      <c r="B21" s="139" t="str">
        <f>Input!N$18</f>
        <v/>
      </c>
      <c r="C21" s="3"/>
      <c r="D21" s="95">
        <v>2.0</v>
      </c>
      <c r="E21" s="161" t="s">
        <v>22</v>
      </c>
      <c r="F21" s="155" t="s">
        <v>210</v>
      </c>
      <c r="G21" s="171">
        <v>35156.0</v>
      </c>
      <c r="H21" s="171">
        <v>35186.0</v>
      </c>
      <c r="I21" s="171">
        <v>35217.0</v>
      </c>
      <c r="J21" s="171">
        <v>35247.0</v>
      </c>
      <c r="K21" s="171">
        <v>35278.0</v>
      </c>
      <c r="L21" s="171">
        <v>35309.0</v>
      </c>
      <c r="M21" s="171">
        <v>35339.0</v>
      </c>
      <c r="N21" s="171">
        <v>35370.0</v>
      </c>
      <c r="O21" s="171">
        <v>35400.0</v>
      </c>
      <c r="P21" s="171">
        <v>35431.0</v>
      </c>
      <c r="Q21" s="171">
        <v>35462.0</v>
      </c>
      <c r="R21" s="171">
        <v>35490.0</v>
      </c>
      <c r="S21" s="97">
        <f>SUM(Input!G18:R18)</f>
        <v>0</v>
      </c>
      <c r="T21" s="153"/>
      <c r="U21" s="151"/>
      <c r="V21" s="83"/>
      <c r="W21" s="3"/>
      <c r="X21" s="3"/>
      <c r="Y21" s="3"/>
      <c r="Z21" s="3"/>
    </row>
    <row r="22" ht="15.75" customHeight="1">
      <c r="A22" s="120">
        <v>35400.0</v>
      </c>
      <c r="B22" s="139" t="str">
        <f>Input!O$18</f>
        <v/>
      </c>
      <c r="C22" s="3"/>
      <c r="D22" s="95"/>
      <c r="E22" s="161"/>
      <c r="F22" s="156" t="s">
        <v>211</v>
      </c>
      <c r="G22" s="159">
        <f>IF(Input!G18=0,0,INT((Input!G18*8.33/100)+0.5))</f>
        <v>0</v>
      </c>
      <c r="H22" s="159">
        <f>IF(Input!H18=0,0,INT((Input!H18*8.33/100)+0.5))</f>
        <v>0</v>
      </c>
      <c r="I22" s="159">
        <f>IF(Input!I18=0,0,INT((Input!I18*8.33/100)+0.5))</f>
        <v>0</v>
      </c>
      <c r="J22" s="159">
        <f>IF(Input!J18=0,0,INT((Input!J18*8.33/100)+0.5))</f>
        <v>0</v>
      </c>
      <c r="K22" s="159">
        <f>IF(Input!K18=0,0,INT((Input!K18*8.33/100)+0.5))</f>
        <v>0</v>
      </c>
      <c r="L22" s="159">
        <f>IF(Input!L18=0,0,INT((Input!L18*8.33/100)+0.5))</f>
        <v>0</v>
      </c>
      <c r="M22" s="159">
        <f>IF(Input!M18=0,0,INT((Input!M18*8.33/100)+0.5))</f>
        <v>0</v>
      </c>
      <c r="N22" s="159">
        <f>IF(Input!N18=0,0,INT((Input!N18*8.33/100)+0.5))</f>
        <v>0</v>
      </c>
      <c r="O22" s="159">
        <f>IF(Input!O18=0,0,INT((Input!O18*8.33/100)+0.5))</f>
        <v>0</v>
      </c>
      <c r="P22" s="159">
        <f>IF(Input!P18=0,0,INT((Input!P18*8.33/100)+0.5))</f>
        <v>0</v>
      </c>
      <c r="Q22" s="159">
        <f>IF(Input!Q18=0,0,INT((Input!Q18*8.33/100)+0.5))</f>
        <v>0</v>
      </c>
      <c r="R22" s="159">
        <f>IF(Input!R18=0,0,INT((Input!R18*8.33/100)+0.5))</f>
        <v>0</v>
      </c>
      <c r="S22" s="160">
        <f t="shared" ref="S22:S24" si="5">SUM(G22:R22)</f>
        <v>0</v>
      </c>
      <c r="T22" s="153"/>
      <c r="U22" s="151"/>
      <c r="V22" s="83"/>
      <c r="W22" s="3"/>
      <c r="X22" s="3"/>
      <c r="Y22" s="3"/>
      <c r="Z22" s="3"/>
    </row>
    <row r="23" ht="15.75" customHeight="1">
      <c r="A23" s="120">
        <v>35431.0</v>
      </c>
      <c r="B23" s="139" t="str">
        <f>Input!P$18</f>
        <v/>
      </c>
      <c r="C23" s="3"/>
      <c r="D23" s="95"/>
      <c r="E23" s="161"/>
      <c r="F23" s="156" t="s">
        <v>212</v>
      </c>
      <c r="G23" s="160">
        <f>IF(Input!G18&lt;=$J$7,INT((Input!G18*8.33%)+0.5),INT(($J$7*8.33%)+0.5))</f>
        <v>0</v>
      </c>
      <c r="H23" s="160">
        <f>IF(Input!H18&lt;=$J$7,INT((Input!H18*8.33%)+0.5),INT(($J$7*8.33%)+0.5))</f>
        <v>0</v>
      </c>
      <c r="I23" s="160">
        <f>IF(Input!I18&lt;=$J$7,INT((Input!I18*8.33%)+0.5),INT(($J$7*8.33%)+0.5))</f>
        <v>0</v>
      </c>
      <c r="J23" s="160">
        <f>IF(Input!J18&lt;=$J$7,INT((Input!J18*8.33%)+0.5),INT(($J$7*8.33%)+0.5))</f>
        <v>0</v>
      </c>
      <c r="K23" s="160">
        <f>IF(Input!K18&lt;=$J$7,INT((Input!K18*8.33%)+0.5),INT(($J$7*8.33%)+0.5))</f>
        <v>0</v>
      </c>
      <c r="L23" s="160">
        <f>IF(Input!L18&lt;=$J$7,INT((Input!L18*8.33%)+0.5),INT(($J$7*8.33%)+0.5))</f>
        <v>0</v>
      </c>
      <c r="M23" s="160">
        <f>IF(Input!M18&lt;=$J$7,INT((Input!M18*8.33%)+0.5),INT(($J$7*8.33%)+0.5))</f>
        <v>0</v>
      </c>
      <c r="N23" s="160">
        <f>IF(Input!N18&lt;=$J$7,INT((Input!N18*8.33%)+0.5),INT(($J$7*8.33%)+0.5))</f>
        <v>0</v>
      </c>
      <c r="O23" s="160">
        <f>IF(Input!O18&lt;=$J$7,INT((Input!O18*8.33%)+0.5),INT(($J$7*8.33%)+0.5))</f>
        <v>0</v>
      </c>
      <c r="P23" s="160">
        <f>IF(Input!P18&lt;=$J$7,INT((Input!P18*8.33%)+0.5),INT(($J$7*8.33%)+0.5))</f>
        <v>0</v>
      </c>
      <c r="Q23" s="160">
        <f>IF(Input!Q18&lt;=$J$7,INT((Input!Q18*8.33%)+0.5),INT(($J$7*8.33%)+0.5))</f>
        <v>0</v>
      </c>
      <c r="R23" s="160">
        <f>IF(Input!R18&lt;=$J$7,INT((Input!R18*8.33%)+0.5),INT(($J$7*8.33%)+0.5))</f>
        <v>0</v>
      </c>
      <c r="S23" s="160">
        <f t="shared" si="5"/>
        <v>0</v>
      </c>
      <c r="T23" s="153"/>
      <c r="U23" s="151"/>
      <c r="V23" s="83"/>
      <c r="W23" s="3"/>
      <c r="X23" s="3"/>
      <c r="Y23" s="3"/>
      <c r="Z23" s="3"/>
    </row>
    <row r="24" ht="15.75" customHeight="1">
      <c r="A24" s="120">
        <v>35462.0</v>
      </c>
      <c r="B24" s="139" t="str">
        <f>Input!Q$18</f>
        <v/>
      </c>
      <c r="C24" s="3"/>
      <c r="D24" s="95"/>
      <c r="E24" s="161"/>
      <c r="F24" s="156" t="s">
        <v>213</v>
      </c>
      <c r="G24" s="160">
        <f t="shared" ref="G24:R24" si="6">IF(G22-G23&lt;=0,0,G22-G23)</f>
        <v>0</v>
      </c>
      <c r="H24" s="160">
        <f t="shared" si="6"/>
        <v>0</v>
      </c>
      <c r="I24" s="160">
        <f t="shared" si="6"/>
        <v>0</v>
      </c>
      <c r="J24" s="160">
        <f t="shared" si="6"/>
        <v>0</v>
      </c>
      <c r="K24" s="160">
        <f t="shared" si="6"/>
        <v>0</v>
      </c>
      <c r="L24" s="160">
        <f t="shared" si="6"/>
        <v>0</v>
      </c>
      <c r="M24" s="160">
        <f t="shared" si="6"/>
        <v>0</v>
      </c>
      <c r="N24" s="160">
        <f t="shared" si="6"/>
        <v>0</v>
      </c>
      <c r="O24" s="160">
        <f t="shared" si="6"/>
        <v>0</v>
      </c>
      <c r="P24" s="160">
        <f t="shared" si="6"/>
        <v>0</v>
      </c>
      <c r="Q24" s="160">
        <f t="shared" si="6"/>
        <v>0</v>
      </c>
      <c r="R24" s="160">
        <f t="shared" si="6"/>
        <v>0</v>
      </c>
      <c r="S24" s="160">
        <f t="shared" si="5"/>
        <v>0</v>
      </c>
      <c r="T24" s="153"/>
      <c r="U24" s="151"/>
      <c r="V24" s="83"/>
      <c r="W24" s="3"/>
      <c r="X24" s="3"/>
      <c r="Y24" s="3"/>
      <c r="Z24" s="3"/>
    </row>
    <row r="25" ht="15.75" customHeight="1">
      <c r="A25" s="120">
        <v>35490.0</v>
      </c>
      <c r="B25" s="139" t="str">
        <f>Input!R$18</f>
        <v/>
      </c>
      <c r="C25" s="3"/>
      <c r="D25" s="95"/>
      <c r="E25" s="161" t="s">
        <v>214</v>
      </c>
      <c r="F25" s="156" t="s">
        <v>215</v>
      </c>
      <c r="G25" s="160">
        <f>IF(G21=0,0,IF($T$11&lt;=Input!G17,0,R18+R19+U19))</f>
        <v>0</v>
      </c>
      <c r="H25" s="160">
        <f>IF(H21=0,0,IF($T$11&lt;=Input!H17,0,G24+G25))</f>
        <v>0</v>
      </c>
      <c r="I25" s="160">
        <f>IF(I21=0,0,IF($T$11&lt;=Input!I17,0,H24+H25))</f>
        <v>0</v>
      </c>
      <c r="J25" s="160">
        <f>IF(J21=0,0,IF($T$11&lt;=Input!J17,0,I24+I25))</f>
        <v>0</v>
      </c>
      <c r="K25" s="160">
        <f>IF(K21=0,0,IF($T$11&lt;=Input!K17,0,J24+J25))</f>
        <v>0</v>
      </c>
      <c r="L25" s="160">
        <f>IF(L21=0,0,IF($T$11&lt;=Input!L17,0,K24+K25))</f>
        <v>0</v>
      </c>
      <c r="M25" s="160">
        <f>IF(M21=0,0,IF($T$11&lt;=Input!M17,0,L24+L25))</f>
        <v>0</v>
      </c>
      <c r="N25" s="160">
        <f>IF(N21=0,0,IF($T$11&lt;=Input!N17,0,M24+M25))</f>
        <v>0</v>
      </c>
      <c r="O25" s="160">
        <f>IF(O21=0,0,IF($T$11&lt;=Input!O17,0,N24+N25))</f>
        <v>0</v>
      </c>
      <c r="P25" s="160">
        <f>IF(P21=0,0,IF($T$11&lt;=Input!P17,0,O24+O25))</f>
        <v>0</v>
      </c>
      <c r="Q25" s="160">
        <f>IF(Q21=0,0,IF($T$11&lt;=Input!Q17,0,P24+P25))</f>
        <v>0</v>
      </c>
      <c r="R25" s="160">
        <f>IF(R21=0,0,IF($T$11&lt;=Input!R17,0,Q24+Q25))</f>
        <v>0</v>
      </c>
      <c r="S25" s="160"/>
      <c r="T25" s="162">
        <f>SUM(G24:R24)</f>
        <v>0</v>
      </c>
      <c r="U25" s="160">
        <f>SUM(G26:R26)</f>
        <v>0</v>
      </c>
      <c r="V25" s="163">
        <f>SUM(T25,U25)</f>
        <v>0</v>
      </c>
      <c r="W25" s="3"/>
      <c r="X25" s="3"/>
      <c r="Y25" s="3"/>
      <c r="Z25" s="3"/>
    </row>
    <row r="26" ht="15.75" customHeight="1">
      <c r="A26" s="120">
        <v>35521.0</v>
      </c>
      <c r="B26" s="139" t="str">
        <f>Input!G$20</f>
        <v/>
      </c>
      <c r="C26" s="3"/>
      <c r="D26" s="95"/>
      <c r="E26" s="164">
        <v>0.12</v>
      </c>
      <c r="F26" s="165" t="s">
        <v>216</v>
      </c>
      <c r="G26" s="97">
        <f t="shared" ref="G26:R26" si="7">G25/12*$E26</f>
        <v>0</v>
      </c>
      <c r="H26" s="160">
        <f t="shared" si="7"/>
        <v>0</v>
      </c>
      <c r="I26" s="160">
        <f t="shared" si="7"/>
        <v>0</v>
      </c>
      <c r="J26" s="160">
        <f t="shared" si="7"/>
        <v>0</v>
      </c>
      <c r="K26" s="160">
        <f t="shared" si="7"/>
        <v>0</v>
      </c>
      <c r="L26" s="160">
        <f t="shared" si="7"/>
        <v>0</v>
      </c>
      <c r="M26" s="160">
        <f t="shared" si="7"/>
        <v>0</v>
      </c>
      <c r="N26" s="160">
        <f t="shared" si="7"/>
        <v>0</v>
      </c>
      <c r="O26" s="160">
        <f t="shared" si="7"/>
        <v>0</v>
      </c>
      <c r="P26" s="160">
        <f t="shared" si="7"/>
        <v>0</v>
      </c>
      <c r="Q26" s="160">
        <f t="shared" si="7"/>
        <v>0</v>
      </c>
      <c r="R26" s="160">
        <f t="shared" si="7"/>
        <v>0</v>
      </c>
      <c r="S26" s="160">
        <f>SUM(G26:R26)</f>
        <v>0</v>
      </c>
      <c r="T26" s="168">
        <f t="shared" ref="T26:V26" si="8">SUM(T19,T25)</f>
        <v>0</v>
      </c>
      <c r="U26" s="169">
        <f t="shared" si="8"/>
        <v>0</v>
      </c>
      <c r="V26" s="170">
        <f t="shared" si="8"/>
        <v>0</v>
      </c>
      <c r="W26" s="3"/>
      <c r="X26" s="3"/>
      <c r="Y26" s="3"/>
      <c r="Z26" s="3"/>
    </row>
    <row r="27" ht="15.75" customHeight="1">
      <c r="A27" s="120">
        <v>35551.0</v>
      </c>
      <c r="B27" s="139" t="str">
        <f>Input!H$20</f>
        <v/>
      </c>
      <c r="C27" s="3"/>
      <c r="D27" s="95">
        <v>3.0</v>
      </c>
      <c r="E27" s="161" t="s">
        <v>23</v>
      </c>
      <c r="F27" s="155" t="s">
        <v>210</v>
      </c>
      <c r="G27" s="171">
        <v>35521.0</v>
      </c>
      <c r="H27" s="171">
        <v>35551.0</v>
      </c>
      <c r="I27" s="171">
        <v>35582.0</v>
      </c>
      <c r="J27" s="171">
        <v>35612.0</v>
      </c>
      <c r="K27" s="171">
        <v>35643.0</v>
      </c>
      <c r="L27" s="171">
        <v>35674.0</v>
      </c>
      <c r="M27" s="171">
        <v>35704.0</v>
      </c>
      <c r="N27" s="171">
        <v>35735.0</v>
      </c>
      <c r="O27" s="171">
        <v>35765.0</v>
      </c>
      <c r="P27" s="171">
        <v>35796.0</v>
      </c>
      <c r="Q27" s="171">
        <v>35827.0</v>
      </c>
      <c r="R27" s="171">
        <v>35855.0</v>
      </c>
      <c r="S27" s="97">
        <f>SUM(Input!G20:R20)</f>
        <v>0</v>
      </c>
      <c r="T27" s="153"/>
      <c r="U27" s="151"/>
      <c r="V27" s="83"/>
      <c r="W27" s="3"/>
      <c r="X27" s="3"/>
      <c r="Y27" s="3"/>
      <c r="Z27" s="3"/>
    </row>
    <row r="28" ht="15.75" customHeight="1">
      <c r="A28" s="120">
        <v>35582.0</v>
      </c>
      <c r="B28" s="139" t="str">
        <f>Input!I$20</f>
        <v/>
      </c>
      <c r="C28" s="3"/>
      <c r="D28" s="95"/>
      <c r="E28" s="161"/>
      <c r="F28" s="156" t="s">
        <v>211</v>
      </c>
      <c r="G28" s="159">
        <f>IF(Input!G20=0,0,INT((Input!G20*8.33/100)+0.5))</f>
        <v>0</v>
      </c>
      <c r="H28" s="159">
        <f>IF(Input!H20=0,0,INT((Input!H20*8.33/100)+0.5))</f>
        <v>0</v>
      </c>
      <c r="I28" s="159">
        <f>IF(Input!I20=0,0,INT((Input!I20*8.33/100)+0.5))</f>
        <v>0</v>
      </c>
      <c r="J28" s="159">
        <f>IF(Input!J20=0,0,INT((Input!J20*8.33/100)+0.5))</f>
        <v>0</v>
      </c>
      <c r="K28" s="159">
        <f>IF(Input!K20=0,0,INT((Input!K20*8.33/100)+0.5))</f>
        <v>0</v>
      </c>
      <c r="L28" s="159">
        <f>IF(Input!L20=0,0,INT((Input!L20*8.33/100)+0.5))</f>
        <v>0</v>
      </c>
      <c r="M28" s="159">
        <f>IF(Input!M20=0,0,INT((Input!M20*8.33/100)+0.5))</f>
        <v>0</v>
      </c>
      <c r="N28" s="159">
        <f>IF(Input!N20=0,0,INT((Input!N20*8.33/100)+0.5))</f>
        <v>0</v>
      </c>
      <c r="O28" s="159">
        <f>IF(Input!O20=0,0,INT((Input!O20*8.33/100)+0.5))</f>
        <v>0</v>
      </c>
      <c r="P28" s="159">
        <f>IF(Input!P20=0,0,INT((Input!P20*8.33/100)+0.5))</f>
        <v>0</v>
      </c>
      <c r="Q28" s="159">
        <f>IF(Input!Q20=0,0,INT((Input!Q20*8.33/100)+0.5))</f>
        <v>0</v>
      </c>
      <c r="R28" s="159">
        <f>IF(Input!R20=0,0,INT((Input!R20*8.33/100)+0.5))</f>
        <v>0</v>
      </c>
      <c r="S28" s="160">
        <f t="shared" ref="S28:S30" si="9">SUM(G28:R28)</f>
        <v>0</v>
      </c>
      <c r="T28" s="153"/>
      <c r="U28" s="151"/>
      <c r="V28" s="83"/>
      <c r="W28" s="3"/>
      <c r="X28" s="3"/>
      <c r="Y28" s="3"/>
      <c r="Z28" s="3"/>
    </row>
    <row r="29" ht="15.75" customHeight="1">
      <c r="A29" s="120">
        <v>35612.0</v>
      </c>
      <c r="B29" s="139" t="str">
        <f>Input!J$20</f>
        <v/>
      </c>
      <c r="C29" s="3"/>
      <c r="D29" s="95"/>
      <c r="E29" s="161"/>
      <c r="F29" s="156" t="s">
        <v>212</v>
      </c>
      <c r="G29" s="160">
        <f>IF(Input!G20&lt;=$J$7,INT((Input!G20*8.33%)+0.5),INT(($J$7*8.33%)+0.5))</f>
        <v>0</v>
      </c>
      <c r="H29" s="160">
        <f>IF(Input!H20&lt;=$J$7,INT((Input!H20*8.33%)+0.5),INT(($J$7*8.33%)+0.5))</f>
        <v>0</v>
      </c>
      <c r="I29" s="160">
        <f>IF(Input!I20&lt;=$J$7,INT((Input!I20*8.33%)+0.5),INT(($J$7*8.33%)+0.5))</f>
        <v>0</v>
      </c>
      <c r="J29" s="160">
        <f>IF(Input!J20&lt;=$J$7,INT((Input!J20*8.33%)+0.5),INT(($J$7*8.33%)+0.5))</f>
        <v>0</v>
      </c>
      <c r="K29" s="160">
        <f>IF(Input!K20&lt;=$J$7,INT((Input!K20*8.33%)+0.5),INT(($J$7*8.33%)+0.5))</f>
        <v>0</v>
      </c>
      <c r="L29" s="160">
        <f>IF(Input!L20&lt;=$J$7,INT((Input!L20*8.33%)+0.5),INT(($J$7*8.33%)+0.5))</f>
        <v>0</v>
      </c>
      <c r="M29" s="160">
        <f>IF(Input!M20&lt;=$J$7,INT((Input!M20*8.33%)+0.5),INT(($J$7*8.33%)+0.5))</f>
        <v>0</v>
      </c>
      <c r="N29" s="160">
        <f>IF(Input!N20&lt;=$J$7,INT((Input!N20*8.33%)+0.5),INT(($J$7*8.33%)+0.5))</f>
        <v>0</v>
      </c>
      <c r="O29" s="160">
        <f>IF(Input!O20&lt;=$J$7,INT((Input!O20*8.33%)+0.5),INT(($J$7*8.33%)+0.5))</f>
        <v>0</v>
      </c>
      <c r="P29" s="160">
        <f>IF(Input!P20&lt;=$J$7,INT((Input!P20*8.33%)+0.5),INT(($J$7*8.33%)+0.5))</f>
        <v>0</v>
      </c>
      <c r="Q29" s="160">
        <f>IF(Input!Q20&lt;=$J$7,INT((Input!Q20*8.33%)+0.5),INT(($J$7*8.33%)+0.5))</f>
        <v>0</v>
      </c>
      <c r="R29" s="160">
        <f>IF(Input!R20&lt;=$J$7,INT((Input!R20*8.33%)+0.5),INT(($J$7*8.33%)+0.5))</f>
        <v>0</v>
      </c>
      <c r="S29" s="160">
        <f t="shared" si="9"/>
        <v>0</v>
      </c>
      <c r="T29" s="153"/>
      <c r="U29" s="151"/>
      <c r="V29" s="83"/>
      <c r="W29" s="3"/>
      <c r="X29" s="3"/>
      <c r="Y29" s="3"/>
      <c r="Z29" s="3"/>
    </row>
    <row r="30" ht="15.75" customHeight="1">
      <c r="A30" s="120">
        <v>35643.0</v>
      </c>
      <c r="B30" s="139" t="str">
        <f>Input!K$20</f>
        <v/>
      </c>
      <c r="C30" s="3"/>
      <c r="D30" s="95"/>
      <c r="E30" s="161"/>
      <c r="F30" s="156" t="s">
        <v>213</v>
      </c>
      <c r="G30" s="160">
        <f t="shared" ref="G30:R30" si="10">IF(G28-G29&lt;=0,0,G28-G29)</f>
        <v>0</v>
      </c>
      <c r="H30" s="160">
        <f t="shared" si="10"/>
        <v>0</v>
      </c>
      <c r="I30" s="160">
        <f t="shared" si="10"/>
        <v>0</v>
      </c>
      <c r="J30" s="160">
        <f t="shared" si="10"/>
        <v>0</v>
      </c>
      <c r="K30" s="160">
        <f t="shared" si="10"/>
        <v>0</v>
      </c>
      <c r="L30" s="160">
        <f t="shared" si="10"/>
        <v>0</v>
      </c>
      <c r="M30" s="160">
        <f t="shared" si="10"/>
        <v>0</v>
      </c>
      <c r="N30" s="160">
        <f t="shared" si="10"/>
        <v>0</v>
      </c>
      <c r="O30" s="160">
        <f t="shared" si="10"/>
        <v>0</v>
      </c>
      <c r="P30" s="160">
        <f t="shared" si="10"/>
        <v>0</v>
      </c>
      <c r="Q30" s="160">
        <f t="shared" si="10"/>
        <v>0</v>
      </c>
      <c r="R30" s="160">
        <f t="shared" si="10"/>
        <v>0</v>
      </c>
      <c r="S30" s="160">
        <f t="shared" si="9"/>
        <v>0</v>
      </c>
      <c r="T30" s="153"/>
      <c r="U30" s="151"/>
      <c r="V30" s="83"/>
      <c r="W30" s="3"/>
      <c r="X30" s="3"/>
      <c r="Y30" s="3"/>
      <c r="Z30" s="3"/>
    </row>
    <row r="31" ht="15.75" customHeight="1">
      <c r="A31" s="120">
        <v>35674.0</v>
      </c>
      <c r="B31" s="139" t="str">
        <f>Input!L$20</f>
        <v/>
      </c>
      <c r="C31" s="3"/>
      <c r="D31" s="95"/>
      <c r="E31" s="161" t="s">
        <v>214</v>
      </c>
      <c r="F31" s="156" t="s">
        <v>215</v>
      </c>
      <c r="G31" s="160">
        <f>IF(G27=0,0,IF($T$11&lt;=Input!G19,0,R24+R25+U25))</f>
        <v>0</v>
      </c>
      <c r="H31" s="160">
        <f>IF(H27=0,0,IF($T$11&lt;=Input!H19,0,G30+G31))</f>
        <v>0</v>
      </c>
      <c r="I31" s="160">
        <f>IF(I27=0,0,IF($T$11&lt;=Input!I19,0,H30+H31))</f>
        <v>0</v>
      </c>
      <c r="J31" s="160">
        <f>IF(J27=0,0,IF($T$11&lt;=Input!J19,0,I30+I31))</f>
        <v>0</v>
      </c>
      <c r="K31" s="160">
        <f>IF(K27=0,0,IF($T$11&lt;=Input!K19,0,J30+J31))</f>
        <v>0</v>
      </c>
      <c r="L31" s="160">
        <f>IF(L27=0,0,IF($T$11&lt;=Input!L19,0,K30+K31))</f>
        <v>0</v>
      </c>
      <c r="M31" s="160">
        <f>IF(M27=0,0,IF($T$11&lt;=Input!M19,0,L30+L31))</f>
        <v>0</v>
      </c>
      <c r="N31" s="160">
        <f>IF(N27=0,0,IF($T$11&lt;=Input!N19,0,M30+M31))</f>
        <v>0</v>
      </c>
      <c r="O31" s="160">
        <f>IF(O27=0,0,IF($T$11&lt;=Input!O19,0,N30+N31))</f>
        <v>0</v>
      </c>
      <c r="P31" s="160">
        <f>IF(P27=0,0,IF($T$11&lt;=Input!P19,0,O30+O31))</f>
        <v>0</v>
      </c>
      <c r="Q31" s="160">
        <f>IF(Q27=0,0,IF($T$11&lt;=Input!Q19,0,P30+P31))</f>
        <v>0</v>
      </c>
      <c r="R31" s="160">
        <f>IF(R27=0,0,IF($T$11&lt;=Input!R19,0,Q30+Q31))</f>
        <v>0</v>
      </c>
      <c r="S31" s="160"/>
      <c r="T31" s="162">
        <f>SUM(G30:R30)</f>
        <v>0</v>
      </c>
      <c r="U31" s="160">
        <f>SUM(G32:R32)</f>
        <v>0</v>
      </c>
      <c r="V31" s="163">
        <f>SUM(T31,U31)</f>
        <v>0</v>
      </c>
      <c r="W31" s="3"/>
      <c r="X31" s="3"/>
      <c r="Y31" s="3"/>
      <c r="Z31" s="3"/>
    </row>
    <row r="32" ht="15.75" customHeight="1">
      <c r="A32" s="120">
        <v>35704.0</v>
      </c>
      <c r="B32" s="139" t="str">
        <f>Input!M$20</f>
        <v/>
      </c>
      <c r="C32" s="3"/>
      <c r="D32" s="95"/>
      <c r="E32" s="164">
        <v>0.12</v>
      </c>
      <c r="F32" s="165" t="s">
        <v>216</v>
      </c>
      <c r="G32" s="97">
        <f t="shared" ref="G32:R32" si="11">G31/12*$E32</f>
        <v>0</v>
      </c>
      <c r="H32" s="160">
        <f t="shared" si="11"/>
        <v>0</v>
      </c>
      <c r="I32" s="160">
        <f t="shared" si="11"/>
        <v>0</v>
      </c>
      <c r="J32" s="160">
        <f t="shared" si="11"/>
        <v>0</v>
      </c>
      <c r="K32" s="160">
        <f t="shared" si="11"/>
        <v>0</v>
      </c>
      <c r="L32" s="160">
        <f t="shared" si="11"/>
        <v>0</v>
      </c>
      <c r="M32" s="160">
        <f t="shared" si="11"/>
        <v>0</v>
      </c>
      <c r="N32" s="160">
        <f t="shared" si="11"/>
        <v>0</v>
      </c>
      <c r="O32" s="160">
        <f t="shared" si="11"/>
        <v>0</v>
      </c>
      <c r="P32" s="160">
        <f t="shared" si="11"/>
        <v>0</v>
      </c>
      <c r="Q32" s="160">
        <f t="shared" si="11"/>
        <v>0</v>
      </c>
      <c r="R32" s="160">
        <f t="shared" si="11"/>
        <v>0</v>
      </c>
      <c r="S32" s="160">
        <f>SUM(G32:R32)</f>
        <v>0</v>
      </c>
      <c r="T32" s="168">
        <f t="shared" ref="T32:V32" si="12">SUM(T19,T25,T31)</f>
        <v>0</v>
      </c>
      <c r="U32" s="169">
        <f t="shared" si="12"/>
        <v>0</v>
      </c>
      <c r="V32" s="170">
        <f t="shared" si="12"/>
        <v>0</v>
      </c>
      <c r="W32" s="3"/>
      <c r="X32" s="3"/>
      <c r="Y32" s="3"/>
      <c r="Z32" s="3"/>
    </row>
    <row r="33" ht="15.75" customHeight="1">
      <c r="A33" s="120">
        <v>35735.0</v>
      </c>
      <c r="B33" s="139" t="str">
        <f>Input!N$20</f>
        <v/>
      </c>
      <c r="C33" s="3"/>
      <c r="D33" s="95">
        <v>4.0</v>
      </c>
      <c r="E33" s="161" t="s">
        <v>24</v>
      </c>
      <c r="F33" s="155" t="s">
        <v>210</v>
      </c>
      <c r="G33" s="171">
        <v>35886.0</v>
      </c>
      <c r="H33" s="171">
        <v>35916.0</v>
      </c>
      <c r="I33" s="171">
        <v>35947.0</v>
      </c>
      <c r="J33" s="171">
        <v>35977.0</v>
      </c>
      <c r="K33" s="171">
        <v>36008.0</v>
      </c>
      <c r="L33" s="171">
        <v>36039.0</v>
      </c>
      <c r="M33" s="171">
        <v>36069.0</v>
      </c>
      <c r="N33" s="171">
        <v>36100.0</v>
      </c>
      <c r="O33" s="171">
        <v>36130.0</v>
      </c>
      <c r="P33" s="171">
        <v>36161.0</v>
      </c>
      <c r="Q33" s="171">
        <v>36192.0</v>
      </c>
      <c r="R33" s="171">
        <v>36220.0</v>
      </c>
      <c r="S33" s="97">
        <f>SUM(Input!G22:R22)</f>
        <v>0</v>
      </c>
      <c r="T33" s="153"/>
      <c r="U33" s="151"/>
      <c r="V33" s="83"/>
      <c r="W33" s="3"/>
      <c r="X33" s="3"/>
      <c r="Y33" s="3"/>
      <c r="Z33" s="3"/>
    </row>
    <row r="34" ht="15.75" customHeight="1">
      <c r="A34" s="120">
        <v>35765.0</v>
      </c>
      <c r="B34" s="139" t="str">
        <f>Input!O$20</f>
        <v/>
      </c>
      <c r="C34" s="3"/>
      <c r="D34" s="95"/>
      <c r="E34" s="161"/>
      <c r="F34" s="156" t="s">
        <v>211</v>
      </c>
      <c r="G34" s="159">
        <f>IF(Input!G22=0,0,INT((Input!G22*8.33/100)+0.5))</f>
        <v>0</v>
      </c>
      <c r="H34" s="159">
        <f>IF(Input!H22=0,0,INT((Input!H22*8.33/100)+0.5))</f>
        <v>0</v>
      </c>
      <c r="I34" s="159">
        <f>IF(Input!I22=0,0,INT((Input!I22*8.33/100)+0.5))</f>
        <v>0</v>
      </c>
      <c r="J34" s="159">
        <f>IF(Input!J22=0,0,INT((Input!J22*8.33/100)+0.5))</f>
        <v>0</v>
      </c>
      <c r="K34" s="159">
        <f>IF(Input!K22=0,0,INT((Input!K22*8.33/100)+0.5))</f>
        <v>0</v>
      </c>
      <c r="L34" s="159">
        <f>IF(Input!L22=0,0,INT((Input!L22*8.33/100)+0.5))</f>
        <v>0</v>
      </c>
      <c r="M34" s="159">
        <f>IF(Input!M22=0,0,INT((Input!M22*8.33/100)+0.5))</f>
        <v>0</v>
      </c>
      <c r="N34" s="159">
        <f>IF(Input!N22=0,0,INT((Input!N22*8.33/100)+0.5))</f>
        <v>0</v>
      </c>
      <c r="O34" s="159">
        <f>IF(Input!O22=0,0,INT((Input!O22*8.33/100)+0.5))</f>
        <v>0</v>
      </c>
      <c r="P34" s="159">
        <f>IF(Input!P22=0,0,INT((Input!P22*8.33/100)+0.5))</f>
        <v>0</v>
      </c>
      <c r="Q34" s="159">
        <f>IF(Input!Q22=0,0,INT((Input!Q22*8.33/100)+0.5))</f>
        <v>0</v>
      </c>
      <c r="R34" s="159">
        <f>IF(Input!R22=0,0,INT((Input!R22*8.33/100)+0.5))</f>
        <v>0</v>
      </c>
      <c r="S34" s="160">
        <f t="shared" ref="S34:S36" si="13">SUM(G34:R34)</f>
        <v>0</v>
      </c>
      <c r="T34" s="153"/>
      <c r="U34" s="151"/>
      <c r="V34" s="83"/>
      <c r="W34" s="3"/>
      <c r="X34" s="3"/>
      <c r="Y34" s="3"/>
      <c r="Z34" s="3"/>
    </row>
    <row r="35" ht="15.75" customHeight="1">
      <c r="A35" s="120">
        <v>35796.0</v>
      </c>
      <c r="B35" s="139" t="str">
        <f>Input!P$20</f>
        <v/>
      </c>
      <c r="C35" s="3"/>
      <c r="D35" s="95"/>
      <c r="E35" s="161"/>
      <c r="F35" s="156" t="s">
        <v>212</v>
      </c>
      <c r="G35" s="160">
        <f>IF(Input!G22&lt;=$J$7,INT((Input!G22*8.33%)+0.5),INT(($J$7*8.33%)+0.5))</f>
        <v>0</v>
      </c>
      <c r="H35" s="160">
        <f>IF(Input!H22&lt;=$J$7,INT((Input!H22*8.33%)+0.5),INT(($J$7*8.33%)+0.5))</f>
        <v>0</v>
      </c>
      <c r="I35" s="160">
        <f>IF(Input!I22&lt;=$J$7,INT((Input!I22*8.33%)+0.5),INT(($J$7*8.33%)+0.5))</f>
        <v>0</v>
      </c>
      <c r="J35" s="160">
        <f>IF(Input!J22&lt;=$J$7,INT((Input!J22*8.33%)+0.5),INT(($J$7*8.33%)+0.5))</f>
        <v>0</v>
      </c>
      <c r="K35" s="160">
        <f>IF(Input!K22&lt;=$J$7,INT((Input!K22*8.33%)+0.5),INT(($J$7*8.33%)+0.5))</f>
        <v>0</v>
      </c>
      <c r="L35" s="160">
        <f>IF(Input!L22&lt;=$J$7,INT((Input!L22*8.33%)+0.5),INT(($J$7*8.33%)+0.5))</f>
        <v>0</v>
      </c>
      <c r="M35" s="160">
        <f>IF(Input!M22&lt;=$J$7,INT((Input!M22*8.33%)+0.5),INT(($J$7*8.33%)+0.5))</f>
        <v>0</v>
      </c>
      <c r="N35" s="160">
        <f>IF(Input!N22&lt;=$J$7,INT((Input!N22*8.33%)+0.5),INT(($J$7*8.33%)+0.5))</f>
        <v>0</v>
      </c>
      <c r="O35" s="160">
        <f>IF(Input!O22&lt;=$J$7,INT((Input!O22*8.33%)+0.5),INT(($J$7*8.33%)+0.5))</f>
        <v>0</v>
      </c>
      <c r="P35" s="160">
        <f>IF(Input!P22&lt;=$J$7,INT((Input!P22*8.33%)+0.5),INT(($J$7*8.33%)+0.5))</f>
        <v>0</v>
      </c>
      <c r="Q35" s="160">
        <f>IF(Input!Q22&lt;=$J$7,INT((Input!Q22*8.33%)+0.5),INT(($J$7*8.33%)+0.5))</f>
        <v>0</v>
      </c>
      <c r="R35" s="160">
        <f>IF(Input!R22&lt;=$J$7,INT((Input!R22*8.33%)+0.5),INT(($J$7*8.33%)+0.5))</f>
        <v>0</v>
      </c>
      <c r="S35" s="160">
        <f t="shared" si="13"/>
        <v>0</v>
      </c>
      <c r="T35" s="153"/>
      <c r="U35" s="151"/>
      <c r="V35" s="83"/>
      <c r="W35" s="3"/>
      <c r="X35" s="3"/>
      <c r="Y35" s="3"/>
      <c r="Z35" s="3"/>
    </row>
    <row r="36" ht="15.75" customHeight="1">
      <c r="A36" s="120">
        <v>35827.0</v>
      </c>
      <c r="B36" s="139" t="str">
        <f>Input!Q$20</f>
        <v/>
      </c>
      <c r="C36" s="3"/>
      <c r="D36" s="95"/>
      <c r="E36" s="161"/>
      <c r="F36" s="156" t="s">
        <v>213</v>
      </c>
      <c r="G36" s="160">
        <f t="shared" ref="G36:R36" si="14">IF(G34-G35&lt;=0,0,G34-G35)</f>
        <v>0</v>
      </c>
      <c r="H36" s="160">
        <f t="shared" si="14"/>
        <v>0</v>
      </c>
      <c r="I36" s="160">
        <f t="shared" si="14"/>
        <v>0</v>
      </c>
      <c r="J36" s="160">
        <f t="shared" si="14"/>
        <v>0</v>
      </c>
      <c r="K36" s="160">
        <f t="shared" si="14"/>
        <v>0</v>
      </c>
      <c r="L36" s="160">
        <f t="shared" si="14"/>
        <v>0</v>
      </c>
      <c r="M36" s="160">
        <f t="shared" si="14"/>
        <v>0</v>
      </c>
      <c r="N36" s="160">
        <f t="shared" si="14"/>
        <v>0</v>
      </c>
      <c r="O36" s="160">
        <f t="shared" si="14"/>
        <v>0</v>
      </c>
      <c r="P36" s="160">
        <f t="shared" si="14"/>
        <v>0</v>
      </c>
      <c r="Q36" s="160">
        <f t="shared" si="14"/>
        <v>0</v>
      </c>
      <c r="R36" s="160">
        <f t="shared" si="14"/>
        <v>0</v>
      </c>
      <c r="S36" s="160">
        <f t="shared" si="13"/>
        <v>0</v>
      </c>
      <c r="T36" s="153"/>
      <c r="U36" s="151"/>
      <c r="V36" s="83"/>
      <c r="W36" s="3"/>
      <c r="X36" s="3"/>
      <c r="Y36" s="3"/>
      <c r="Z36" s="3"/>
    </row>
    <row r="37" ht="15.75" customHeight="1">
      <c r="A37" s="120">
        <v>35855.0</v>
      </c>
      <c r="B37" s="139" t="str">
        <f>Input!R$20</f>
        <v/>
      </c>
      <c r="C37" s="3"/>
      <c r="D37" s="95"/>
      <c r="E37" s="161" t="s">
        <v>214</v>
      </c>
      <c r="F37" s="156" t="s">
        <v>215</v>
      </c>
      <c r="G37" s="160">
        <f>IF(G33=0,0,IF($T$11&lt;=Input!G21,0,R30+R31+U31))</f>
        <v>0</v>
      </c>
      <c r="H37" s="160">
        <f>IF(H33=0,0,IF($T$11&lt;=Input!H21,0,G36+G37))</f>
        <v>0</v>
      </c>
      <c r="I37" s="160">
        <f>IF(I33=0,0,IF($T$11&lt;=Input!I21,0,H36+H37))</f>
        <v>0</v>
      </c>
      <c r="J37" s="160">
        <f>IF(J33=0,0,IF($T$11&lt;=Input!J21,0,I36+I37))</f>
        <v>0</v>
      </c>
      <c r="K37" s="160">
        <f>IF(K33=0,0,IF($T$11&lt;=Input!K21,0,J36+J37))</f>
        <v>0</v>
      </c>
      <c r="L37" s="160">
        <f>IF(L33=0,0,IF($T$11&lt;=Input!L21,0,K36+K37))</f>
        <v>0</v>
      </c>
      <c r="M37" s="160">
        <f>IF(M33=0,0,IF($T$11&lt;=Input!M21,0,L36+L37))</f>
        <v>0</v>
      </c>
      <c r="N37" s="160">
        <f>IF(N33=0,0,IF($T$11&lt;=Input!N21,0,M36+M37))</f>
        <v>0</v>
      </c>
      <c r="O37" s="160">
        <f>IF(O33=0,0,IF($T$11&lt;=Input!O21,0,N36+N37))</f>
        <v>0</v>
      </c>
      <c r="P37" s="160">
        <f>IF(P33=0,0,IF($T$11&lt;=Input!P21,0,O36+O37))</f>
        <v>0</v>
      </c>
      <c r="Q37" s="160">
        <f>IF(Q33=0,0,IF($T$11&lt;=Input!Q21,0,P36+P37))</f>
        <v>0</v>
      </c>
      <c r="R37" s="160">
        <f>IF(R33=0,0,IF($T$11&lt;=Input!R21,0,Q36+Q37))</f>
        <v>0</v>
      </c>
      <c r="S37" s="160"/>
      <c r="T37" s="162">
        <f>SUM(G36:R36)</f>
        <v>0</v>
      </c>
      <c r="U37" s="160">
        <f>SUM(G38:R38)</f>
        <v>0</v>
      </c>
      <c r="V37" s="163">
        <f>SUM(T37,U37)</f>
        <v>0</v>
      </c>
      <c r="W37" s="3"/>
      <c r="X37" s="3"/>
      <c r="Y37" s="3"/>
      <c r="Z37" s="3"/>
    </row>
    <row r="38" ht="15.75" customHeight="1">
      <c r="A38" s="120">
        <v>35886.0</v>
      </c>
      <c r="B38" s="139" t="str">
        <f>Input!G$22</f>
        <v/>
      </c>
      <c r="C38" s="3"/>
      <c r="D38" s="95"/>
      <c r="E38" s="164">
        <v>0.12</v>
      </c>
      <c r="F38" s="165" t="s">
        <v>216</v>
      </c>
      <c r="G38" s="97">
        <f t="shared" ref="G38:R38" si="15">G37/12*$E38</f>
        <v>0</v>
      </c>
      <c r="H38" s="160">
        <f t="shared" si="15"/>
        <v>0</v>
      </c>
      <c r="I38" s="160">
        <f t="shared" si="15"/>
        <v>0</v>
      </c>
      <c r="J38" s="160">
        <f t="shared" si="15"/>
        <v>0</v>
      </c>
      <c r="K38" s="160">
        <f t="shared" si="15"/>
        <v>0</v>
      </c>
      <c r="L38" s="160">
        <f t="shared" si="15"/>
        <v>0</v>
      </c>
      <c r="M38" s="160">
        <f t="shared" si="15"/>
        <v>0</v>
      </c>
      <c r="N38" s="160">
        <f t="shared" si="15"/>
        <v>0</v>
      </c>
      <c r="O38" s="160">
        <f t="shared" si="15"/>
        <v>0</v>
      </c>
      <c r="P38" s="160">
        <f t="shared" si="15"/>
        <v>0</v>
      </c>
      <c r="Q38" s="160">
        <f t="shared" si="15"/>
        <v>0</v>
      </c>
      <c r="R38" s="160">
        <f t="shared" si="15"/>
        <v>0</v>
      </c>
      <c r="S38" s="160">
        <f>SUM(G38:R38)</f>
        <v>0</v>
      </c>
      <c r="T38" s="168">
        <f t="shared" ref="T38:V38" si="16">SUM(T19,T25,T31,T37)</f>
        <v>0</v>
      </c>
      <c r="U38" s="169">
        <f t="shared" si="16"/>
        <v>0</v>
      </c>
      <c r="V38" s="170">
        <f t="shared" si="16"/>
        <v>0</v>
      </c>
      <c r="W38" s="3"/>
      <c r="X38" s="3"/>
      <c r="Y38" s="3"/>
      <c r="Z38" s="3"/>
    </row>
    <row r="39" ht="15.75" customHeight="1">
      <c r="A39" s="120">
        <v>35916.0</v>
      </c>
      <c r="B39" s="139" t="str">
        <f>Input!H$22</f>
        <v/>
      </c>
      <c r="C39" s="3"/>
      <c r="D39" s="95">
        <v>5.0</v>
      </c>
      <c r="E39" s="161" t="s">
        <v>25</v>
      </c>
      <c r="F39" s="155" t="s">
        <v>210</v>
      </c>
      <c r="G39" s="171">
        <v>36251.0</v>
      </c>
      <c r="H39" s="171">
        <v>36281.0</v>
      </c>
      <c r="I39" s="171">
        <v>36312.0</v>
      </c>
      <c r="J39" s="171">
        <v>36342.0</v>
      </c>
      <c r="K39" s="171">
        <v>36373.0</v>
      </c>
      <c r="L39" s="171">
        <v>36404.0</v>
      </c>
      <c r="M39" s="171">
        <v>36434.0</v>
      </c>
      <c r="N39" s="171">
        <v>36465.0</v>
      </c>
      <c r="O39" s="171">
        <v>36495.0</v>
      </c>
      <c r="P39" s="171">
        <v>36526.0</v>
      </c>
      <c r="Q39" s="171">
        <v>36557.0</v>
      </c>
      <c r="R39" s="171">
        <v>36586.0</v>
      </c>
      <c r="S39" s="97">
        <f>SUM(Input!G24:R24)</f>
        <v>0</v>
      </c>
      <c r="T39" s="153"/>
      <c r="U39" s="151"/>
      <c r="V39" s="83"/>
      <c r="W39" s="3"/>
      <c r="X39" s="3"/>
      <c r="Y39" s="3"/>
      <c r="Z39" s="3"/>
    </row>
    <row r="40" ht="15.75" customHeight="1">
      <c r="A40" s="120">
        <v>35947.0</v>
      </c>
      <c r="B40" s="139" t="str">
        <f>Input!I$22</f>
        <v/>
      </c>
      <c r="C40" s="3"/>
      <c r="D40" s="95"/>
      <c r="E40" s="161"/>
      <c r="F40" s="156" t="s">
        <v>211</v>
      </c>
      <c r="G40" s="159">
        <f>IF(Input!G24=0,0,INT((Input!G24*8.33/100)+0.5))</f>
        <v>0</v>
      </c>
      <c r="H40" s="159">
        <f>IF(Input!H24=0,0,INT((Input!H24*8.33/100)+0.5))</f>
        <v>0</v>
      </c>
      <c r="I40" s="159">
        <f>IF(Input!I24=0,0,INT((Input!I24*8.33/100)+0.5))</f>
        <v>0</v>
      </c>
      <c r="J40" s="159">
        <f>IF(Input!J24=0,0,INT((Input!J24*8.33/100)+0.5))</f>
        <v>0</v>
      </c>
      <c r="K40" s="159">
        <f>IF(Input!K24=0,0,INT((Input!K24*8.33/100)+0.5))</f>
        <v>0</v>
      </c>
      <c r="L40" s="159">
        <f>IF(Input!L24=0,0,INT((Input!L24*8.33/100)+0.5))</f>
        <v>0</v>
      </c>
      <c r="M40" s="159">
        <f>IF(Input!M24=0,0,INT((Input!M24*8.33/100)+0.5))</f>
        <v>0</v>
      </c>
      <c r="N40" s="159">
        <f>IF(Input!N24=0,0,INT((Input!N24*8.33/100)+0.5))</f>
        <v>0</v>
      </c>
      <c r="O40" s="159">
        <f>IF(Input!O24=0,0,INT((Input!O24*8.33/100)+0.5))</f>
        <v>0</v>
      </c>
      <c r="P40" s="159">
        <f>IF(Input!P24=0,0,INT((Input!P24*8.33/100)+0.5))</f>
        <v>0</v>
      </c>
      <c r="Q40" s="159">
        <f>IF(Input!Q24=0,0,INT((Input!Q24*8.33/100)+0.5))</f>
        <v>0</v>
      </c>
      <c r="R40" s="159">
        <f>IF(Input!R24=0,0,INT((Input!R24*8.33/100)+0.5))</f>
        <v>0</v>
      </c>
      <c r="S40" s="160">
        <f t="shared" ref="S40:S42" si="17">SUM(G40:R40)</f>
        <v>0</v>
      </c>
      <c r="T40" s="153"/>
      <c r="U40" s="151"/>
      <c r="V40" s="83"/>
      <c r="W40" s="3"/>
      <c r="X40" s="3"/>
      <c r="Y40" s="3"/>
      <c r="Z40" s="3"/>
    </row>
    <row r="41" ht="15.75" customHeight="1">
      <c r="A41" s="120">
        <v>35977.0</v>
      </c>
      <c r="B41" s="139" t="str">
        <f>Input!J$22</f>
        <v/>
      </c>
      <c r="C41" s="3"/>
      <c r="D41" s="95"/>
      <c r="E41" s="161"/>
      <c r="F41" s="156" t="s">
        <v>212</v>
      </c>
      <c r="G41" s="160">
        <f>IF(Input!G24&lt;=$J$7,INT((Input!G24*8.33%)+0.5),INT(($J$7*8.33%)+0.5))</f>
        <v>0</v>
      </c>
      <c r="H41" s="160">
        <f>IF(Input!H24&lt;=$J$7,INT((Input!H24*8.33%)+0.5),INT(($J$7*8.33%)+0.5))</f>
        <v>0</v>
      </c>
      <c r="I41" s="160">
        <f>IF(Input!I24&lt;=$J$7,INT((Input!I24*8.33%)+0.5),INT(($J$7*8.33%)+0.5))</f>
        <v>0</v>
      </c>
      <c r="J41" s="160">
        <f>IF(Input!J24&lt;=$J$7,INT((Input!J24*8.33%)+0.5),INT(($J$7*8.33%)+0.5))</f>
        <v>0</v>
      </c>
      <c r="K41" s="160">
        <f>IF(Input!K24&lt;=$J$7,INT((Input!K24*8.33%)+0.5),INT(($J$7*8.33%)+0.5))</f>
        <v>0</v>
      </c>
      <c r="L41" s="160">
        <f>IF(Input!L24&lt;=$J$7,INT((Input!L24*8.33%)+0.5),INT(($J$7*8.33%)+0.5))</f>
        <v>0</v>
      </c>
      <c r="M41" s="160">
        <f>IF(Input!M24&lt;=$J$7,INT((Input!M24*8.33%)+0.5),INT(($J$7*8.33%)+0.5))</f>
        <v>0</v>
      </c>
      <c r="N41" s="160">
        <f>IF(Input!N24&lt;=$J$7,INT((Input!N24*8.33%)+0.5),INT(($J$7*8.33%)+0.5))</f>
        <v>0</v>
      </c>
      <c r="O41" s="160">
        <f>IF(Input!O24&lt;=$J$7,INT((Input!O24*8.33%)+0.5),INT(($J$7*8.33%)+0.5))</f>
        <v>0</v>
      </c>
      <c r="P41" s="160">
        <f>IF(Input!P24&lt;=$J$7,INT((Input!P24*8.33%)+0.5),INT(($J$7*8.33%)+0.5))</f>
        <v>0</v>
      </c>
      <c r="Q41" s="160">
        <f>IF(Input!Q24&lt;=$J$7,INT((Input!Q24*8.33%)+0.5),INT(($J$7*8.33%)+0.5))</f>
        <v>0</v>
      </c>
      <c r="R41" s="160">
        <f>IF(Input!R24&lt;=$J$7,INT((Input!R24*8.33%)+0.5),INT(($J$7*8.33%)+0.5))</f>
        <v>0</v>
      </c>
      <c r="S41" s="160">
        <f t="shared" si="17"/>
        <v>0</v>
      </c>
      <c r="T41" s="153"/>
      <c r="U41" s="151"/>
      <c r="V41" s="83"/>
      <c r="W41" s="3"/>
      <c r="X41" s="3"/>
      <c r="Y41" s="3"/>
      <c r="Z41" s="3"/>
    </row>
    <row r="42" ht="15.75" customHeight="1">
      <c r="A42" s="120">
        <v>36008.0</v>
      </c>
      <c r="B42" s="139" t="str">
        <f>Input!K$22</f>
        <v/>
      </c>
      <c r="C42" s="3"/>
      <c r="D42" s="95"/>
      <c r="E42" s="161"/>
      <c r="F42" s="156" t="s">
        <v>213</v>
      </c>
      <c r="G42" s="160">
        <f t="shared" ref="G42:R42" si="18">IF(G40-G41&lt;=0,0,G40-G41)</f>
        <v>0</v>
      </c>
      <c r="H42" s="160">
        <f t="shared" si="18"/>
        <v>0</v>
      </c>
      <c r="I42" s="160">
        <f t="shared" si="18"/>
        <v>0</v>
      </c>
      <c r="J42" s="160">
        <f t="shared" si="18"/>
        <v>0</v>
      </c>
      <c r="K42" s="160">
        <f t="shared" si="18"/>
        <v>0</v>
      </c>
      <c r="L42" s="160">
        <f t="shared" si="18"/>
        <v>0</v>
      </c>
      <c r="M42" s="160">
        <f t="shared" si="18"/>
        <v>0</v>
      </c>
      <c r="N42" s="160">
        <f t="shared" si="18"/>
        <v>0</v>
      </c>
      <c r="O42" s="160">
        <f t="shared" si="18"/>
        <v>0</v>
      </c>
      <c r="P42" s="160">
        <f t="shared" si="18"/>
        <v>0</v>
      </c>
      <c r="Q42" s="160">
        <f t="shared" si="18"/>
        <v>0</v>
      </c>
      <c r="R42" s="160">
        <f t="shared" si="18"/>
        <v>0</v>
      </c>
      <c r="S42" s="160">
        <f t="shared" si="17"/>
        <v>0</v>
      </c>
      <c r="T42" s="153"/>
      <c r="U42" s="151"/>
      <c r="V42" s="83"/>
      <c r="W42" s="3"/>
      <c r="X42" s="3"/>
      <c r="Y42" s="3"/>
      <c r="Z42" s="3"/>
    </row>
    <row r="43" ht="15.75" customHeight="1">
      <c r="A43" s="120">
        <v>36039.0</v>
      </c>
      <c r="B43" s="139" t="str">
        <f>Input!L$22</f>
        <v/>
      </c>
      <c r="C43" s="3"/>
      <c r="D43" s="95"/>
      <c r="E43" s="161" t="s">
        <v>214</v>
      </c>
      <c r="F43" s="156" t="s">
        <v>215</v>
      </c>
      <c r="G43" s="160">
        <f>IF(G39=0,0,IF($T$11&lt;=Input!G23,0,R36+R37+U37))</f>
        <v>0</v>
      </c>
      <c r="H43" s="160">
        <f>IF(H39=0,0,IF($T$11&lt;=Input!H23,0,G42+G43))</f>
        <v>0</v>
      </c>
      <c r="I43" s="160">
        <f>IF(I39=0,0,IF($T$11&lt;=Input!I23,0,H42+H43))</f>
        <v>0</v>
      </c>
      <c r="J43" s="160">
        <f>IF(J39=0,0,IF($T$11&lt;=Input!J23,0,I42+I43))</f>
        <v>0</v>
      </c>
      <c r="K43" s="160">
        <f>IF(K39=0,0,IF($T$11&lt;=Input!K23,0,J42+J43))</f>
        <v>0</v>
      </c>
      <c r="L43" s="160">
        <f>IF(L39=0,0,IF($T$11&lt;=Input!L23,0,K42+K43))</f>
        <v>0</v>
      </c>
      <c r="M43" s="160">
        <f>IF(M39=0,0,IF($T$11&lt;=Input!M23,0,L42+L43))</f>
        <v>0</v>
      </c>
      <c r="N43" s="160">
        <f>IF(N39=0,0,IF($T$11&lt;=Input!N23,0,M42+M43))</f>
        <v>0</v>
      </c>
      <c r="O43" s="160">
        <f>IF(O39=0,0,IF($T$11&lt;=Input!O23,0,N42+N43))</f>
        <v>0</v>
      </c>
      <c r="P43" s="160">
        <f>IF(P39=0,0,IF($T$11&lt;=Input!P23,0,O42+O43))</f>
        <v>0</v>
      </c>
      <c r="Q43" s="160">
        <f>IF(Q39=0,0,IF($T$11&lt;=Input!Q23,0,P42+P43))</f>
        <v>0</v>
      </c>
      <c r="R43" s="160">
        <f>IF(R39=0,0,IF($T$11&lt;=Input!R23,0,Q42+Q43))</f>
        <v>0</v>
      </c>
      <c r="S43" s="160"/>
      <c r="T43" s="162">
        <f>SUM(G42:R42)</f>
        <v>0</v>
      </c>
      <c r="U43" s="160">
        <f>SUM(G44:R44)</f>
        <v>0</v>
      </c>
      <c r="V43" s="163">
        <f>SUM(T43,U43)</f>
        <v>0</v>
      </c>
      <c r="W43" s="3"/>
      <c r="X43" s="3"/>
      <c r="Y43" s="3"/>
      <c r="Z43" s="3"/>
    </row>
    <row r="44" ht="15.75" customHeight="1">
      <c r="A44" s="120">
        <v>36069.0</v>
      </c>
      <c r="B44" s="139" t="str">
        <f>Input!M$22</f>
        <v/>
      </c>
      <c r="C44" s="3"/>
      <c r="D44" s="95"/>
      <c r="E44" s="164">
        <v>0.12</v>
      </c>
      <c r="F44" s="165" t="s">
        <v>216</v>
      </c>
      <c r="G44" s="97">
        <f t="shared" ref="G44:R44" si="19">G43/12*$E44</f>
        <v>0</v>
      </c>
      <c r="H44" s="160">
        <f t="shared" si="19"/>
        <v>0</v>
      </c>
      <c r="I44" s="160">
        <f t="shared" si="19"/>
        <v>0</v>
      </c>
      <c r="J44" s="160">
        <f t="shared" si="19"/>
        <v>0</v>
      </c>
      <c r="K44" s="160">
        <f t="shared" si="19"/>
        <v>0</v>
      </c>
      <c r="L44" s="160">
        <f t="shared" si="19"/>
        <v>0</v>
      </c>
      <c r="M44" s="160">
        <f t="shared" si="19"/>
        <v>0</v>
      </c>
      <c r="N44" s="160">
        <f t="shared" si="19"/>
        <v>0</v>
      </c>
      <c r="O44" s="160">
        <f t="shared" si="19"/>
        <v>0</v>
      </c>
      <c r="P44" s="160">
        <f t="shared" si="19"/>
        <v>0</v>
      </c>
      <c r="Q44" s="160">
        <f t="shared" si="19"/>
        <v>0</v>
      </c>
      <c r="R44" s="160">
        <f t="shared" si="19"/>
        <v>0</v>
      </c>
      <c r="S44" s="160">
        <f>SUM(G44:R44)</f>
        <v>0</v>
      </c>
      <c r="T44" s="168">
        <f t="shared" ref="T44:V44" si="20">SUM(T19,T25,T31,T37,T43)</f>
        <v>0</v>
      </c>
      <c r="U44" s="169">
        <f t="shared" si="20"/>
        <v>0</v>
      </c>
      <c r="V44" s="170">
        <f t="shared" si="20"/>
        <v>0</v>
      </c>
      <c r="W44" s="3"/>
      <c r="X44" s="3"/>
      <c r="Y44" s="3"/>
      <c r="Z44" s="3"/>
    </row>
    <row r="45" ht="15.75" customHeight="1">
      <c r="A45" s="120">
        <v>36100.0</v>
      </c>
      <c r="B45" s="139" t="str">
        <f>Input!N$22</f>
        <v/>
      </c>
      <c r="C45" s="3"/>
      <c r="D45" s="95">
        <v>6.0</v>
      </c>
      <c r="E45" s="161" t="s">
        <v>26</v>
      </c>
      <c r="F45" s="155" t="s">
        <v>210</v>
      </c>
      <c r="G45" s="171">
        <v>36617.0</v>
      </c>
      <c r="H45" s="171">
        <v>36647.0</v>
      </c>
      <c r="I45" s="171">
        <v>36678.0</v>
      </c>
      <c r="J45" s="171">
        <v>36708.0</v>
      </c>
      <c r="K45" s="171">
        <v>36739.0</v>
      </c>
      <c r="L45" s="171">
        <v>36770.0</v>
      </c>
      <c r="M45" s="171">
        <v>36800.0</v>
      </c>
      <c r="N45" s="171">
        <v>36831.0</v>
      </c>
      <c r="O45" s="171">
        <v>36861.0</v>
      </c>
      <c r="P45" s="171">
        <v>36892.0</v>
      </c>
      <c r="Q45" s="171">
        <v>36923.0</v>
      </c>
      <c r="R45" s="171">
        <v>36951.0</v>
      </c>
      <c r="S45" s="97">
        <f>SUM(Input!G26:R26)</f>
        <v>0</v>
      </c>
      <c r="T45" s="153"/>
      <c r="U45" s="151"/>
      <c r="V45" s="83"/>
      <c r="W45" s="3"/>
      <c r="X45" s="3"/>
      <c r="Y45" s="3"/>
      <c r="Z45" s="3"/>
    </row>
    <row r="46" ht="15.75" customHeight="1">
      <c r="A46" s="120">
        <v>36130.0</v>
      </c>
      <c r="B46" s="139" t="str">
        <f>Input!O$22</f>
        <v/>
      </c>
      <c r="C46" s="3"/>
      <c r="D46" s="95"/>
      <c r="E46" s="161"/>
      <c r="F46" s="156" t="s">
        <v>211</v>
      </c>
      <c r="G46" s="159">
        <f>IF(Input!G26=0,0,INT((Input!G26*8.33/100)+0.5))</f>
        <v>0</v>
      </c>
      <c r="H46" s="159">
        <f>IF(Input!H26=0,0,INT((Input!H26*8.33/100)+0.5))</f>
        <v>0</v>
      </c>
      <c r="I46" s="159">
        <f>IF(Input!I26=0,0,INT((Input!I26*8.33/100)+0.5))</f>
        <v>0</v>
      </c>
      <c r="J46" s="159">
        <f>IF(Input!J26=0,0,INT((Input!J26*8.33/100)+0.5))</f>
        <v>0</v>
      </c>
      <c r="K46" s="159">
        <f>IF(Input!K26=0,0,INT((Input!K26*8.33/100)+0.5))</f>
        <v>0</v>
      </c>
      <c r="L46" s="159">
        <f>IF(Input!L26=0,0,INT((Input!L26*8.33/100)+0.5))</f>
        <v>0</v>
      </c>
      <c r="M46" s="159">
        <f>IF(Input!M26=0,0,INT((Input!M26*8.33/100)+0.5))</f>
        <v>0</v>
      </c>
      <c r="N46" s="159">
        <f>IF(Input!N26=0,0,INT((Input!N26*8.33/100)+0.5))</f>
        <v>0</v>
      </c>
      <c r="O46" s="159">
        <f>IF(Input!O26=0,0,INT((Input!O26*8.33/100)+0.5))</f>
        <v>0</v>
      </c>
      <c r="P46" s="159">
        <f>IF(Input!P26=0,0,INT((Input!P26*8.33/100)+0.5))</f>
        <v>0</v>
      </c>
      <c r="Q46" s="159">
        <f>IF(Input!Q26=0,0,INT((Input!Q26*8.33/100)+0.5))</f>
        <v>0</v>
      </c>
      <c r="R46" s="159">
        <f>IF(Input!R26=0,0,INT((Input!R26*8.33/100)+0.5))</f>
        <v>0</v>
      </c>
      <c r="S46" s="160">
        <f t="shared" ref="S46:S48" si="21">SUM(G46:R46)</f>
        <v>0</v>
      </c>
      <c r="T46" s="153"/>
      <c r="U46" s="151"/>
      <c r="V46" s="83"/>
      <c r="W46" s="3"/>
      <c r="X46" s="3"/>
      <c r="Y46" s="3"/>
      <c r="Z46" s="3"/>
    </row>
    <row r="47" ht="15.75" customHeight="1">
      <c r="A47" s="120">
        <v>36161.0</v>
      </c>
      <c r="B47" s="139" t="str">
        <f>Input!P$22</f>
        <v/>
      </c>
      <c r="C47" s="3"/>
      <c r="D47" s="95"/>
      <c r="E47" s="172" t="s">
        <v>217</v>
      </c>
      <c r="F47" s="156" t="s">
        <v>212</v>
      </c>
      <c r="G47" s="160">
        <f>IF(Input!G26&lt;=$J$7,INT((Input!G26*8.33%)+0.5),INT(($J$7*8.33%)+0.5))</f>
        <v>0</v>
      </c>
      <c r="H47" s="160">
        <f>IF(Input!H26&lt;=$J$7,INT((Input!H26*8.33%)+0.5),INT(($J$7*8.33%)+0.5))</f>
        <v>0</v>
      </c>
      <c r="I47" s="160">
        <f>IF(Input!I26&lt;=$J$7,INT((Input!I26*8.33%)+0.5),INT(($J$7*8.33%)+0.5))</f>
        <v>0</v>
      </c>
      <c r="J47" s="160">
        <f>IF(Input!J26&lt;=$J$7,INT((Input!J26*8.33%)+0.5),INT(($J$7*8.33%)+0.5))</f>
        <v>0</v>
      </c>
      <c r="K47" s="160">
        <f>IF(Input!K26&lt;=$J$7,INT((Input!K26*8.33%)+0.5),INT(($J$7*8.33%)+0.5))</f>
        <v>0</v>
      </c>
      <c r="L47" s="160">
        <f>IF(Input!L26&lt;=$J$7,INT((Input!L26*8.33%)+0.5),INT(($J$7*8.33%)+0.5))</f>
        <v>0</v>
      </c>
      <c r="M47" s="160">
        <f>IF(Input!M26&lt;=$J$7,INT((Input!M26*8.33%)+0.5),INT(($J$7*8.33%)+0.5))</f>
        <v>0</v>
      </c>
      <c r="N47" s="160">
        <f>IF(Input!N26&lt;=$J$7,INT((Input!N26*8.33%)+0.5),INT(($J$7*8.33%)+0.5))</f>
        <v>0</v>
      </c>
      <c r="O47" s="160">
        <f>IF(Input!O26&lt;=$J$7,INT((Input!O26*8.33%)+0.5),INT(($J$7*8.33%)+0.5))</f>
        <v>0</v>
      </c>
      <c r="P47" s="160">
        <f>IF(Input!P26&lt;=$J$7,INT((Input!P26*8.33%)+0.5),INT(($J$7*8.33%)+0.5))</f>
        <v>0</v>
      </c>
      <c r="Q47" s="160">
        <f>IF(Input!Q26&lt;=$J$7,INT((Input!Q26*8.33%)+0.5),INT(($J$7*8.33%)+0.5))</f>
        <v>0</v>
      </c>
      <c r="R47" s="160">
        <f>IF(Input!R26&lt;=$J$7,INT((Input!R26*8.33%)+0.5),INT(($J$7*8.33%)+0.5))</f>
        <v>0</v>
      </c>
      <c r="S47" s="160">
        <f t="shared" si="21"/>
        <v>0</v>
      </c>
      <c r="T47" s="153"/>
      <c r="U47" s="151"/>
      <c r="V47" s="83"/>
      <c r="W47" s="3"/>
      <c r="X47" s="3"/>
      <c r="Y47" s="3"/>
      <c r="Z47" s="3"/>
    </row>
    <row r="48" ht="15.75" customHeight="1">
      <c r="A48" s="120">
        <v>36192.0</v>
      </c>
      <c r="B48" s="139" t="str">
        <f>Input!Q$22</f>
        <v/>
      </c>
      <c r="C48" s="3"/>
      <c r="D48" s="95"/>
      <c r="E48" s="173">
        <v>0.12</v>
      </c>
      <c r="F48" s="156" t="s">
        <v>213</v>
      </c>
      <c r="G48" s="160">
        <f t="shared" ref="G48:R48" si="22">IF(G46-G47&lt;=0,0,G46-G47)</f>
        <v>0</v>
      </c>
      <c r="H48" s="160">
        <f t="shared" si="22"/>
        <v>0</v>
      </c>
      <c r="I48" s="160">
        <f t="shared" si="22"/>
        <v>0</v>
      </c>
      <c r="J48" s="160">
        <f t="shared" si="22"/>
        <v>0</v>
      </c>
      <c r="K48" s="160">
        <f t="shared" si="22"/>
        <v>0</v>
      </c>
      <c r="L48" s="160">
        <f t="shared" si="22"/>
        <v>0</v>
      </c>
      <c r="M48" s="160">
        <f t="shared" si="22"/>
        <v>0</v>
      </c>
      <c r="N48" s="160">
        <f t="shared" si="22"/>
        <v>0</v>
      </c>
      <c r="O48" s="160">
        <f t="shared" si="22"/>
        <v>0</v>
      </c>
      <c r="P48" s="160">
        <f t="shared" si="22"/>
        <v>0</v>
      </c>
      <c r="Q48" s="160">
        <f t="shared" si="22"/>
        <v>0</v>
      </c>
      <c r="R48" s="160">
        <f t="shared" si="22"/>
        <v>0</v>
      </c>
      <c r="S48" s="160">
        <f t="shared" si="21"/>
        <v>0</v>
      </c>
      <c r="T48" s="153"/>
      <c r="U48" s="151"/>
      <c r="V48" s="83"/>
      <c r="W48" s="3"/>
      <c r="X48" s="3"/>
      <c r="Y48" s="3"/>
      <c r="Z48" s="3"/>
    </row>
    <row r="49" ht="15.75" customHeight="1">
      <c r="A49" s="120">
        <v>36220.0</v>
      </c>
      <c r="B49" s="139" t="str">
        <f>Input!R$22</f>
        <v/>
      </c>
      <c r="C49" s="3"/>
      <c r="D49" s="95"/>
      <c r="E49" s="174" t="s">
        <v>218</v>
      </c>
      <c r="F49" s="156" t="s">
        <v>215</v>
      </c>
      <c r="G49" s="160">
        <f>IF(G45=0,0,IF($T$11&lt;=Input!G25,0,R42+R43+U43))</f>
        <v>0</v>
      </c>
      <c r="H49" s="160">
        <f>IF(H45=0,0,IF($T$11&lt;=Input!H25,0,G48+G49))</f>
        <v>0</v>
      </c>
      <c r="I49" s="160">
        <f>IF(I45=0,0,IF($T$11&lt;=Input!I25,0,H48+H49))</f>
        <v>0</v>
      </c>
      <c r="J49" s="160">
        <f>IF(J45=0,0,IF($T$11&lt;=Input!J25,0,I48+I49))</f>
        <v>0</v>
      </c>
      <c r="K49" s="160">
        <f>IF(K45=0,0,IF($T$11&lt;=Input!K25,0,J48+J49))</f>
        <v>0</v>
      </c>
      <c r="L49" s="160">
        <f>IF(L45=0,0,IF($T$11&lt;=Input!L25,0,K48+K49))</f>
        <v>0</v>
      </c>
      <c r="M49" s="160">
        <f>IF(M45=0,0,IF($T$11&lt;=Input!M25,0,L48+L49))</f>
        <v>0</v>
      </c>
      <c r="N49" s="160">
        <f>IF(N45=0,0,IF($T$11&lt;=Input!N25,0,M48+M49))</f>
        <v>0</v>
      </c>
      <c r="O49" s="160">
        <f>IF(O45=0,0,IF($T$11&lt;=Input!O25,0,N48+N49))</f>
        <v>0</v>
      </c>
      <c r="P49" s="160">
        <f>IF(P45=0,0,IF($T$11&lt;=Input!P25,0,O48+O49))</f>
        <v>0</v>
      </c>
      <c r="Q49" s="160">
        <f>IF(Q45=0,0,IF($T$11&lt;=Input!Q25,0,P48+P49))</f>
        <v>0</v>
      </c>
      <c r="R49" s="160">
        <f>IF(R45=0,0,IF($T$11&lt;=Input!R25,0,Q48+Q49))</f>
        <v>0</v>
      </c>
      <c r="S49" s="160"/>
      <c r="T49" s="162">
        <f>SUM(G48:R48)</f>
        <v>0</v>
      </c>
      <c r="U49" s="160">
        <f>SUM(G50:R50)</f>
        <v>0</v>
      </c>
      <c r="V49" s="163">
        <f>SUM(T49,U49)</f>
        <v>0</v>
      </c>
      <c r="W49" s="3"/>
      <c r="X49" s="3"/>
      <c r="Y49" s="3"/>
      <c r="Z49" s="3"/>
    </row>
    <row r="50" ht="15.75" customHeight="1">
      <c r="A50" s="120">
        <v>36251.0</v>
      </c>
      <c r="B50" s="139" t="str">
        <f>Input!G$24</f>
        <v/>
      </c>
      <c r="C50" s="3"/>
      <c r="D50" s="95"/>
      <c r="E50" s="175">
        <v>0.11</v>
      </c>
      <c r="F50" s="165" t="s">
        <v>216</v>
      </c>
      <c r="G50" s="176">
        <f t="shared" ref="G50:I50" si="23">G49/12*$E48</f>
        <v>0</v>
      </c>
      <c r="H50" s="177">
        <f t="shared" si="23"/>
        <v>0</v>
      </c>
      <c r="I50" s="177">
        <f t="shared" si="23"/>
        <v>0</v>
      </c>
      <c r="J50" s="178">
        <f t="shared" ref="J50:R50" si="24">J49/12*$E50</f>
        <v>0</v>
      </c>
      <c r="K50" s="178">
        <f t="shared" si="24"/>
        <v>0</v>
      </c>
      <c r="L50" s="178">
        <f t="shared" si="24"/>
        <v>0</v>
      </c>
      <c r="M50" s="178">
        <f t="shared" si="24"/>
        <v>0</v>
      </c>
      <c r="N50" s="178">
        <f t="shared" si="24"/>
        <v>0</v>
      </c>
      <c r="O50" s="178">
        <f t="shared" si="24"/>
        <v>0</v>
      </c>
      <c r="P50" s="178">
        <f t="shared" si="24"/>
        <v>0</v>
      </c>
      <c r="Q50" s="178">
        <f t="shared" si="24"/>
        <v>0</v>
      </c>
      <c r="R50" s="178">
        <f t="shared" si="24"/>
        <v>0</v>
      </c>
      <c r="S50" s="160">
        <f>SUM(G50:R50)</f>
        <v>0</v>
      </c>
      <c r="T50" s="168">
        <f t="shared" ref="T50:V50" si="25">SUM(T19,T25,T31,T37,T43,T49)</f>
        <v>0</v>
      </c>
      <c r="U50" s="169">
        <f t="shared" si="25"/>
        <v>0</v>
      </c>
      <c r="V50" s="170">
        <f t="shared" si="25"/>
        <v>0</v>
      </c>
      <c r="W50" s="3"/>
      <c r="X50" s="3"/>
      <c r="Y50" s="3"/>
      <c r="Z50" s="3"/>
    </row>
    <row r="51" ht="15.75" customHeight="1">
      <c r="A51" s="120">
        <v>36281.0</v>
      </c>
      <c r="B51" s="139" t="str">
        <f>Input!H$24</f>
        <v/>
      </c>
      <c r="C51" s="3"/>
      <c r="D51" s="95">
        <v>7.0</v>
      </c>
      <c r="E51" s="95" t="s">
        <v>27</v>
      </c>
      <c r="F51" s="155" t="s">
        <v>210</v>
      </c>
      <c r="G51" s="171">
        <v>36982.0</v>
      </c>
      <c r="H51" s="179">
        <v>37012.0</v>
      </c>
      <c r="I51" s="179">
        <v>37043.0</v>
      </c>
      <c r="J51" s="180">
        <v>37073.0</v>
      </c>
      <c r="K51" s="171">
        <v>37104.0</v>
      </c>
      <c r="L51" s="171">
        <v>37135.0</v>
      </c>
      <c r="M51" s="171">
        <v>37165.0</v>
      </c>
      <c r="N51" s="171">
        <v>37196.0</v>
      </c>
      <c r="O51" s="171">
        <v>37226.0</v>
      </c>
      <c r="P51" s="171">
        <v>37257.0</v>
      </c>
      <c r="Q51" s="171">
        <v>37288.0</v>
      </c>
      <c r="R51" s="171">
        <v>37316.0</v>
      </c>
      <c r="S51" s="97">
        <f>SUM(Input!G28:R28)</f>
        <v>0</v>
      </c>
      <c r="T51" s="181"/>
      <c r="U51" s="154"/>
      <c r="V51" s="82"/>
      <c r="W51" s="3"/>
      <c r="X51" s="3"/>
      <c r="Y51" s="3"/>
      <c r="Z51" s="3"/>
    </row>
    <row r="52" ht="15.75" customHeight="1">
      <c r="A52" s="120">
        <v>36312.0</v>
      </c>
      <c r="B52" s="139" t="str">
        <f>Input!I$24</f>
        <v/>
      </c>
      <c r="C52" s="3"/>
      <c r="D52" s="95"/>
      <c r="E52" s="95"/>
      <c r="F52" s="156" t="s">
        <v>211</v>
      </c>
      <c r="G52" s="159">
        <f>IF(Input!G28=0,0,INT((Input!G28*8.33/100)+0.5))</f>
        <v>0</v>
      </c>
      <c r="H52" s="159">
        <f>IF(Input!H28=0,0,INT((Input!H28*8.33/100)+0.5))</f>
        <v>0</v>
      </c>
      <c r="I52" s="159">
        <f>IF(Input!I28=0,0,INT((Input!I28*8.33/100)+0.5))</f>
        <v>0</v>
      </c>
      <c r="J52" s="182">
        <f>IF(Input!J28=0,0,INT((Input!J28*8.33/100)+0.5))</f>
        <v>0</v>
      </c>
      <c r="K52" s="159">
        <f>IF(Input!K28=0,0,INT((Input!K28*8.33/100)+0.5))</f>
        <v>0</v>
      </c>
      <c r="L52" s="159">
        <f>IF(Input!L28=0,0,INT((Input!L28*8.33/100)+0.5))</f>
        <v>0</v>
      </c>
      <c r="M52" s="159">
        <f>IF(Input!M28=0,0,INT((Input!M28*8.33/100)+0.5))</f>
        <v>0</v>
      </c>
      <c r="N52" s="159">
        <f>IF(Input!N28=0,0,INT((Input!N28*8.33/100)+0.5))</f>
        <v>0</v>
      </c>
      <c r="O52" s="159">
        <f>IF(Input!O28=0,0,INT((Input!O28*8.33/100)+0.5))</f>
        <v>0</v>
      </c>
      <c r="P52" s="159">
        <f>IF(Input!P28=0,0,INT((Input!P28*8.33/100)+0.5))</f>
        <v>0</v>
      </c>
      <c r="Q52" s="159">
        <f>IF(Input!Q28=0,0,INT((Input!Q28*8.33/100)+0.5))</f>
        <v>0</v>
      </c>
      <c r="R52" s="159">
        <f>IF(Input!R28=0,0,INT((Input!R28*8.33/100)+0.5))</f>
        <v>0</v>
      </c>
      <c r="S52" s="160">
        <f t="shared" ref="S52:S54" si="26">SUM(G52:R52)</f>
        <v>0</v>
      </c>
      <c r="T52" s="181"/>
      <c r="U52" s="154"/>
      <c r="V52" s="82"/>
      <c r="W52" s="3"/>
      <c r="X52" s="3"/>
      <c r="Y52" s="3"/>
      <c r="Z52" s="3"/>
    </row>
    <row r="53" ht="15.75" customHeight="1">
      <c r="A53" s="120">
        <v>36342.0</v>
      </c>
      <c r="B53" s="139" t="str">
        <f>Input!J$24</f>
        <v/>
      </c>
      <c r="C53" s="3"/>
      <c r="D53" s="95"/>
      <c r="E53" s="95"/>
      <c r="F53" s="156" t="s">
        <v>212</v>
      </c>
      <c r="G53" s="160">
        <f>IF(Input!G28&lt;=$J$7,INT((Input!G28*8.33%)+0.5),INT(($J$7*8.33%)+0.5))</f>
        <v>0</v>
      </c>
      <c r="H53" s="160">
        <f>IF(Input!H28&lt;=$J$7,INT((Input!H28*8.33%)+0.5),INT(($J$7*8.33%)+0.5))</f>
        <v>0</v>
      </c>
      <c r="I53" s="160">
        <f>IF(Input!I28&lt;=$J$7,INT((Input!I28*8.33%)+0.5),INT(($J$7*8.33%)+0.5))</f>
        <v>0</v>
      </c>
      <c r="J53" s="182">
        <f>IF(Input!J28&lt;=$P$7,INT((Input!J28*8.33%)+0.5),INT(($P$7*8.33%)+0.5))</f>
        <v>0</v>
      </c>
      <c r="K53" s="159">
        <f>IF(Input!K28&lt;=$P$7,INT((Input!K28*8.33%)+0.5),INT(($P$7*8.33%)+0.5))</f>
        <v>0</v>
      </c>
      <c r="L53" s="159">
        <f>IF(Input!L28&lt;=$P$7,INT((Input!L28*8.33%)+0.5),INT(($P$7*8.33%)+0.5))</f>
        <v>0</v>
      </c>
      <c r="M53" s="159">
        <f>IF(Input!M28&lt;=$P$7,INT((Input!M28*8.33%)+0.5),INT(($P$7*8.33%)+0.5))</f>
        <v>0</v>
      </c>
      <c r="N53" s="159">
        <f>IF(Input!N28&lt;=$P$7,INT((Input!N28*8.33%)+0.5),INT(($P$7*8.33%)+0.5))</f>
        <v>0</v>
      </c>
      <c r="O53" s="159">
        <f>IF(Input!O28&lt;=$P$7,INT((Input!O28*8.33%)+0.5),INT(($P$7*8.33%)+0.5))</f>
        <v>0</v>
      </c>
      <c r="P53" s="159">
        <f>IF(Input!P28&lt;=$P$7,INT((Input!P28*8.33%)+0.5),INT(($P$7*8.33%)+0.5))</f>
        <v>0</v>
      </c>
      <c r="Q53" s="159">
        <f>IF(Input!Q28&lt;=$P$7,INT((Input!Q28*8.33%)+0.5),INT(($P$7*8.33%)+0.5))</f>
        <v>0</v>
      </c>
      <c r="R53" s="159">
        <f>IF(Input!R28&lt;=$P$7,INT((Input!R28*8.33%)+0.5),INT(($P$7*8.33%)+0.5))</f>
        <v>0</v>
      </c>
      <c r="S53" s="160">
        <f t="shared" si="26"/>
        <v>0</v>
      </c>
      <c r="T53" s="181"/>
      <c r="U53" s="154"/>
      <c r="V53" s="82"/>
      <c r="W53" s="3"/>
      <c r="X53" s="3"/>
      <c r="Y53" s="3"/>
      <c r="Z53" s="3"/>
    </row>
    <row r="54" ht="15.75" customHeight="1">
      <c r="A54" s="120">
        <v>36373.0</v>
      </c>
      <c r="B54" s="139" t="str">
        <f>Input!K$24</f>
        <v/>
      </c>
      <c r="C54" s="3"/>
      <c r="D54" s="95"/>
      <c r="E54" s="95"/>
      <c r="F54" s="156" t="s">
        <v>213</v>
      </c>
      <c r="G54" s="160">
        <f t="shared" ref="G54:R54" si="27">IF(G52-G53&lt;=0,0,G52-G53)</f>
        <v>0</v>
      </c>
      <c r="H54" s="160">
        <f t="shared" si="27"/>
        <v>0</v>
      </c>
      <c r="I54" s="160">
        <f t="shared" si="27"/>
        <v>0</v>
      </c>
      <c r="J54" s="182">
        <f t="shared" si="27"/>
        <v>0</v>
      </c>
      <c r="K54" s="160">
        <f t="shared" si="27"/>
        <v>0</v>
      </c>
      <c r="L54" s="160">
        <f t="shared" si="27"/>
        <v>0</v>
      </c>
      <c r="M54" s="160">
        <f t="shared" si="27"/>
        <v>0</v>
      </c>
      <c r="N54" s="160">
        <f t="shared" si="27"/>
        <v>0</v>
      </c>
      <c r="O54" s="160">
        <f t="shared" si="27"/>
        <v>0</v>
      </c>
      <c r="P54" s="160">
        <f t="shared" si="27"/>
        <v>0</v>
      </c>
      <c r="Q54" s="160">
        <f t="shared" si="27"/>
        <v>0</v>
      </c>
      <c r="R54" s="160">
        <f t="shared" si="27"/>
        <v>0</v>
      </c>
      <c r="S54" s="160">
        <f t="shared" si="26"/>
        <v>0</v>
      </c>
      <c r="T54" s="181"/>
      <c r="U54" s="154"/>
      <c r="V54" s="82"/>
      <c r="W54" s="3"/>
      <c r="X54" s="3"/>
      <c r="Y54" s="3"/>
      <c r="Z54" s="3"/>
    </row>
    <row r="55" ht="15.75" customHeight="1">
      <c r="A55" s="120">
        <v>36404.0</v>
      </c>
      <c r="B55" s="139" t="str">
        <f>Input!L$24</f>
        <v/>
      </c>
      <c r="C55" s="3"/>
      <c r="D55" s="95"/>
      <c r="E55" s="161" t="s">
        <v>214</v>
      </c>
      <c r="F55" s="156" t="s">
        <v>215</v>
      </c>
      <c r="G55" s="160">
        <f>IF(G51=0,0,IF($T$11&lt;=Input!G27,0,R48+R49+U49))</f>
        <v>0</v>
      </c>
      <c r="H55" s="160">
        <f>IF(H51=0,0,IF($T$11&lt;=Input!H27,0,G54+G55))</f>
        <v>0</v>
      </c>
      <c r="I55" s="160">
        <f>IF(I51=0,0,IF($T$11&lt;=Input!I27,0,H54+H55))</f>
        <v>0</v>
      </c>
      <c r="J55" s="182">
        <f>IF(J51=0,0,IF($T$11&lt;=Input!J27,0,I54+I55))</f>
        <v>0</v>
      </c>
      <c r="K55" s="160">
        <f>IF(K51=0,0,IF($T$11&lt;=Input!K27,0,J54+J55))</f>
        <v>0</v>
      </c>
      <c r="L55" s="160">
        <f>IF(L51=0,0,IF($T$11&lt;=Input!L27,0,K54+K55))</f>
        <v>0</v>
      </c>
      <c r="M55" s="160">
        <f>IF(M51=0,0,IF($T$11&lt;=Input!M27,0,L54+L55))</f>
        <v>0</v>
      </c>
      <c r="N55" s="160">
        <f>IF(N51=0,0,IF($T$11&lt;=Input!N27,0,M54+M55))</f>
        <v>0</v>
      </c>
      <c r="O55" s="160">
        <f>IF(O51=0,0,IF($T$11&lt;=Input!O27,0,N54+N55))</f>
        <v>0</v>
      </c>
      <c r="P55" s="160">
        <f>IF(P51=0,0,IF($T$11&lt;=Input!P27,0,O54+O55))</f>
        <v>0</v>
      </c>
      <c r="Q55" s="160">
        <f>IF(Q51=0,0,IF($T$11&lt;=Input!Q27,0,P54+P55))</f>
        <v>0</v>
      </c>
      <c r="R55" s="160">
        <f>IF(R51=0,0,IF($T$11&lt;=Input!R27,0,Q54+Q55))</f>
        <v>0</v>
      </c>
      <c r="S55" s="160"/>
      <c r="T55" s="162">
        <f>SUM(G54:R54)</f>
        <v>0</v>
      </c>
      <c r="U55" s="160">
        <f>SUM(G56:R56)</f>
        <v>0</v>
      </c>
      <c r="V55" s="163">
        <f>SUM(T55,U55)</f>
        <v>0</v>
      </c>
      <c r="W55" s="3"/>
      <c r="X55" s="3"/>
      <c r="Y55" s="3"/>
      <c r="Z55" s="3"/>
    </row>
    <row r="56" ht="15.75" customHeight="1">
      <c r="A56" s="120">
        <v>36434.0</v>
      </c>
      <c r="B56" s="139" t="str">
        <f>Input!M$24</f>
        <v/>
      </c>
      <c r="C56" s="3"/>
      <c r="D56" s="95"/>
      <c r="E56" s="164">
        <v>0.095</v>
      </c>
      <c r="F56" s="165" t="s">
        <v>216</v>
      </c>
      <c r="G56" s="97">
        <f t="shared" ref="G56:R56" si="28">G55/12*$E56</f>
        <v>0</v>
      </c>
      <c r="H56" s="159">
        <f t="shared" si="28"/>
        <v>0</v>
      </c>
      <c r="I56" s="159">
        <f t="shared" si="28"/>
        <v>0</v>
      </c>
      <c r="J56" s="182">
        <f t="shared" si="28"/>
        <v>0</v>
      </c>
      <c r="K56" s="160">
        <f t="shared" si="28"/>
        <v>0</v>
      </c>
      <c r="L56" s="160">
        <f t="shared" si="28"/>
        <v>0</v>
      </c>
      <c r="M56" s="160">
        <f t="shared" si="28"/>
        <v>0</v>
      </c>
      <c r="N56" s="160">
        <f t="shared" si="28"/>
        <v>0</v>
      </c>
      <c r="O56" s="160">
        <f t="shared" si="28"/>
        <v>0</v>
      </c>
      <c r="P56" s="160">
        <f t="shared" si="28"/>
        <v>0</v>
      </c>
      <c r="Q56" s="160">
        <f t="shared" si="28"/>
        <v>0</v>
      </c>
      <c r="R56" s="160">
        <f t="shared" si="28"/>
        <v>0</v>
      </c>
      <c r="S56" s="160">
        <f>SUM(G56:R56)</f>
        <v>0</v>
      </c>
      <c r="T56" s="168">
        <f t="shared" ref="T56:V56" si="29">SUM(T19,T25,T31,T37,T43,T49,T55)</f>
        <v>0</v>
      </c>
      <c r="U56" s="169">
        <f t="shared" si="29"/>
        <v>0</v>
      </c>
      <c r="V56" s="170">
        <f t="shared" si="29"/>
        <v>0</v>
      </c>
      <c r="W56" s="3"/>
      <c r="X56" s="3"/>
      <c r="Y56" s="3"/>
      <c r="Z56" s="3"/>
    </row>
    <row r="57" ht="15.75" customHeight="1">
      <c r="A57" s="120">
        <v>36465.0</v>
      </c>
      <c r="B57" s="139" t="str">
        <f>Input!N$24</f>
        <v/>
      </c>
      <c r="C57" s="3"/>
      <c r="D57" s="95">
        <v>8.0</v>
      </c>
      <c r="E57" s="161" t="s">
        <v>28</v>
      </c>
      <c r="F57" s="155" t="s">
        <v>210</v>
      </c>
      <c r="G57" s="171">
        <v>37347.0</v>
      </c>
      <c r="H57" s="171">
        <v>37377.0</v>
      </c>
      <c r="I57" s="171">
        <v>37408.0</v>
      </c>
      <c r="J57" s="171">
        <v>37438.0</v>
      </c>
      <c r="K57" s="171">
        <v>37469.0</v>
      </c>
      <c r="L57" s="171">
        <v>37500.0</v>
      </c>
      <c r="M57" s="171">
        <v>37530.0</v>
      </c>
      <c r="N57" s="171">
        <v>37561.0</v>
      </c>
      <c r="O57" s="171">
        <v>37591.0</v>
      </c>
      <c r="P57" s="171">
        <v>37622.0</v>
      </c>
      <c r="Q57" s="171">
        <v>37653.0</v>
      </c>
      <c r="R57" s="171">
        <v>37681.0</v>
      </c>
      <c r="S57" s="97">
        <f>SUM(Input!G30:R30)</f>
        <v>0</v>
      </c>
      <c r="T57" s="153"/>
      <c r="U57" s="151"/>
      <c r="V57" s="83"/>
      <c r="W57" s="3"/>
      <c r="X57" s="3"/>
      <c r="Y57" s="3"/>
      <c r="Z57" s="3"/>
    </row>
    <row r="58" ht="15.75" customHeight="1">
      <c r="A58" s="120">
        <v>36495.0</v>
      </c>
      <c r="B58" s="139" t="str">
        <f>Input!O$24</f>
        <v/>
      </c>
      <c r="C58" s="3"/>
      <c r="D58" s="95"/>
      <c r="E58" s="161"/>
      <c r="F58" s="156" t="s">
        <v>211</v>
      </c>
      <c r="G58" s="159">
        <f>IF(Input!G30=0,0,INT((Input!G30*8.33/100)+0.5))</f>
        <v>0</v>
      </c>
      <c r="H58" s="159">
        <f>IF(Input!H30=0,0,INT((Input!H30*8.33/100)+0.5))</f>
        <v>0</v>
      </c>
      <c r="I58" s="159">
        <f>IF(Input!I30=0,0,INT((Input!I30*8.33/100)+0.5))</f>
        <v>0</v>
      </c>
      <c r="J58" s="159">
        <f>IF(Input!J30=0,0,INT((Input!J30*8.33/100)+0.5))</f>
        <v>0</v>
      </c>
      <c r="K58" s="159">
        <f>IF(Input!K30=0,0,INT((Input!K30*8.33/100)+0.5))</f>
        <v>0</v>
      </c>
      <c r="L58" s="159">
        <f>IF(Input!L30=0,0,INT((Input!L30*8.33/100)+0.5))</f>
        <v>0</v>
      </c>
      <c r="M58" s="159">
        <f>IF(Input!M30=0,0,INT((Input!M30*8.33/100)+0.5))</f>
        <v>0</v>
      </c>
      <c r="N58" s="159">
        <f>IF(Input!N30=0,0,INT((Input!N30*8.33/100)+0.5))</f>
        <v>0</v>
      </c>
      <c r="O58" s="159">
        <f>IF(Input!O30=0,0,INT((Input!O30*8.33/100)+0.5))</f>
        <v>0</v>
      </c>
      <c r="P58" s="159">
        <f>IF(Input!P30=0,0,INT((Input!P30*8.33/100)+0.5))</f>
        <v>0</v>
      </c>
      <c r="Q58" s="159">
        <f>IF(Input!Q30=0,0,INT((Input!Q30*8.33/100)+0.5))</f>
        <v>0</v>
      </c>
      <c r="R58" s="159">
        <f>IF(Input!R30=0,0,INT((Input!R30*8.33/100)+0.5))</f>
        <v>0</v>
      </c>
      <c r="S58" s="160">
        <f t="shared" ref="S58:S60" si="30">SUM(G58:R58)</f>
        <v>0</v>
      </c>
      <c r="T58" s="153"/>
      <c r="U58" s="151"/>
      <c r="V58" s="83"/>
      <c r="W58" s="3"/>
      <c r="X58" s="3"/>
      <c r="Y58" s="3"/>
      <c r="Z58" s="3"/>
    </row>
    <row r="59" ht="15.75" customHeight="1">
      <c r="A59" s="120">
        <v>36526.0</v>
      </c>
      <c r="B59" s="139" t="str">
        <f>Input!P$24</f>
        <v/>
      </c>
      <c r="C59" s="3"/>
      <c r="D59" s="95"/>
      <c r="E59" s="161"/>
      <c r="F59" s="156" t="s">
        <v>212</v>
      </c>
      <c r="G59" s="159">
        <f>IF(Input!G30&lt;=$P$7,INT((Input!G30*8.33%)+0.5),INT(($P$7*8.33%)+0.5))</f>
        <v>0</v>
      </c>
      <c r="H59" s="159">
        <f>IF(Input!H30&lt;=$P$7,INT((Input!H30*8.33%)+0.5),INT(($P$7*8.33%)+0.5))</f>
        <v>0</v>
      </c>
      <c r="I59" s="159">
        <f>IF(Input!I30&lt;=$P$7,INT((Input!I30*8.33%)+0.5),INT(($P$7*8.33%)+0.5))</f>
        <v>0</v>
      </c>
      <c r="J59" s="159">
        <f>IF(Input!J30&lt;=$P$7,INT((Input!J30*8.33%)+0.5),INT(($P$7*8.33%)+0.5))</f>
        <v>0</v>
      </c>
      <c r="K59" s="159">
        <f>IF(Input!K30&lt;=$P$7,INT((Input!K30*8.33%)+0.5),INT(($P$7*8.33%)+0.5))</f>
        <v>0</v>
      </c>
      <c r="L59" s="159">
        <f>IF(Input!L30&lt;=$P$7,INT((Input!L30*8.33%)+0.5),INT(($P$7*8.33%)+0.5))</f>
        <v>0</v>
      </c>
      <c r="M59" s="159">
        <f>IF(Input!M30&lt;=$P$7,INT((Input!M30*8.33%)+0.5),INT(($P$7*8.33%)+0.5))</f>
        <v>0</v>
      </c>
      <c r="N59" s="159">
        <f>IF(Input!N30&lt;=$P$7,INT((Input!N30*8.33%)+0.5),INT(($P$7*8.33%)+0.5))</f>
        <v>0</v>
      </c>
      <c r="O59" s="159">
        <f>IF(Input!O30&lt;=$P$7,INT((Input!O30*8.33%)+0.5),INT(($P$7*8.33%)+0.5))</f>
        <v>0</v>
      </c>
      <c r="P59" s="159">
        <f>IF(Input!P30&lt;=$P$7,INT((Input!P30*8.33%)+0.5),INT(($P$7*8.33%)+0.5))</f>
        <v>0</v>
      </c>
      <c r="Q59" s="159">
        <f>IF(Input!Q30&lt;=$P$7,INT((Input!Q30*8.33%)+0.5),INT(($P$7*8.33%)+0.5))</f>
        <v>0</v>
      </c>
      <c r="R59" s="159">
        <f>IF(Input!R30&lt;=$P$7,INT((Input!R30*8.33%)+0.5),INT(($P$7*8.33%)+0.5))</f>
        <v>0</v>
      </c>
      <c r="S59" s="160">
        <f t="shared" si="30"/>
        <v>0</v>
      </c>
      <c r="T59" s="153"/>
      <c r="U59" s="151"/>
      <c r="V59" s="83"/>
      <c r="W59" s="3"/>
      <c r="X59" s="3"/>
      <c r="Y59" s="3"/>
      <c r="Z59" s="3"/>
    </row>
    <row r="60" ht="15.75" customHeight="1">
      <c r="A60" s="120">
        <v>36557.0</v>
      </c>
      <c r="B60" s="139" t="str">
        <f>Input!Q$24</f>
        <v/>
      </c>
      <c r="C60" s="3"/>
      <c r="D60" s="95"/>
      <c r="E60" s="161"/>
      <c r="F60" s="156" t="s">
        <v>213</v>
      </c>
      <c r="G60" s="160">
        <f t="shared" ref="G60:R60" si="31">IF(G58-G59&lt;=0,0,G58-G59)</f>
        <v>0</v>
      </c>
      <c r="H60" s="160">
        <f t="shared" si="31"/>
        <v>0</v>
      </c>
      <c r="I60" s="160">
        <f t="shared" si="31"/>
        <v>0</v>
      </c>
      <c r="J60" s="160">
        <f t="shared" si="31"/>
        <v>0</v>
      </c>
      <c r="K60" s="160">
        <f t="shared" si="31"/>
        <v>0</v>
      </c>
      <c r="L60" s="160">
        <f t="shared" si="31"/>
        <v>0</v>
      </c>
      <c r="M60" s="160">
        <f t="shared" si="31"/>
        <v>0</v>
      </c>
      <c r="N60" s="160">
        <f t="shared" si="31"/>
        <v>0</v>
      </c>
      <c r="O60" s="160">
        <f t="shared" si="31"/>
        <v>0</v>
      </c>
      <c r="P60" s="160">
        <f t="shared" si="31"/>
        <v>0</v>
      </c>
      <c r="Q60" s="160">
        <f t="shared" si="31"/>
        <v>0</v>
      </c>
      <c r="R60" s="160">
        <f t="shared" si="31"/>
        <v>0</v>
      </c>
      <c r="S60" s="160">
        <f t="shared" si="30"/>
        <v>0</v>
      </c>
      <c r="T60" s="153"/>
      <c r="U60" s="151"/>
      <c r="V60" s="83"/>
      <c r="W60" s="3"/>
      <c r="X60" s="3"/>
      <c r="Y60" s="3"/>
      <c r="Z60" s="3"/>
    </row>
    <row r="61" ht="15.75" customHeight="1">
      <c r="A61" s="120">
        <v>36586.0</v>
      </c>
      <c r="B61" s="139" t="str">
        <f>Input!R$24</f>
        <v/>
      </c>
      <c r="C61" s="3"/>
      <c r="D61" s="95"/>
      <c r="E61" s="161" t="s">
        <v>214</v>
      </c>
      <c r="F61" s="156" t="s">
        <v>215</v>
      </c>
      <c r="G61" s="160">
        <f>IF(G57=0,0,IF($T$11&lt;=Input!G29,0,R54+R55+U55))</f>
        <v>0</v>
      </c>
      <c r="H61" s="160">
        <f>IF(H57=0,0,IF($T$11&lt;=Input!H29,0,G60+G61))</f>
        <v>0</v>
      </c>
      <c r="I61" s="160">
        <f>IF(I57=0,0,IF($T$11&lt;=Input!I29,0,H60+H61))</f>
        <v>0</v>
      </c>
      <c r="J61" s="160">
        <f>IF(J57=0,0,IF($T$11&lt;=Input!J29,0,I60+I61))</f>
        <v>0</v>
      </c>
      <c r="K61" s="160">
        <f>IF(K57=0,0,IF($T$11&lt;=Input!K29,0,J60+J61))</f>
        <v>0</v>
      </c>
      <c r="L61" s="160">
        <f>IF(L57=0,0,IF($T$11&lt;=Input!L29,0,K60+K61))</f>
        <v>0</v>
      </c>
      <c r="M61" s="160">
        <f>IF(M57=0,0,IF($T$11&lt;=Input!M29,0,L60+L61))</f>
        <v>0</v>
      </c>
      <c r="N61" s="160">
        <f>IF(N57=0,0,IF($T$11&lt;=Input!N29,0,M60+M61))</f>
        <v>0</v>
      </c>
      <c r="O61" s="160">
        <f>IF(O57=0,0,IF($T$11&lt;=Input!O29,0,N60+N61))</f>
        <v>0</v>
      </c>
      <c r="P61" s="160">
        <f>IF(P57=0,0,IF($T$11&lt;=Input!P29,0,O60+O61))</f>
        <v>0</v>
      </c>
      <c r="Q61" s="160">
        <f>IF(Q57=0,0,IF($T$11&lt;=Input!Q29,0,P60+P61))</f>
        <v>0</v>
      </c>
      <c r="R61" s="160">
        <f>IF(R57=0,0,IF($T$11&lt;=Input!R29,0,Q60+Q61))</f>
        <v>0</v>
      </c>
      <c r="S61" s="160"/>
      <c r="T61" s="162">
        <f>SUM(G60:R60)</f>
        <v>0</v>
      </c>
      <c r="U61" s="160">
        <f>SUM(G62:R62)</f>
        <v>0</v>
      </c>
      <c r="V61" s="163">
        <f>SUM(T61,U61)</f>
        <v>0</v>
      </c>
      <c r="W61" s="3"/>
      <c r="X61" s="3"/>
      <c r="Y61" s="3"/>
      <c r="Z61" s="3"/>
    </row>
    <row r="62" ht="15.75" customHeight="1">
      <c r="A62" s="120">
        <v>36617.0</v>
      </c>
      <c r="B62" s="139" t="str">
        <f>Input!G$26</f>
        <v/>
      </c>
      <c r="C62" s="3"/>
      <c r="D62" s="95"/>
      <c r="E62" s="164">
        <v>0.095</v>
      </c>
      <c r="F62" s="165" t="s">
        <v>216</v>
      </c>
      <c r="G62" s="97">
        <f t="shared" ref="G62:R62" si="32">G61/12*$E62</f>
        <v>0</v>
      </c>
      <c r="H62" s="160">
        <f t="shared" si="32"/>
        <v>0</v>
      </c>
      <c r="I62" s="160">
        <f t="shared" si="32"/>
        <v>0</v>
      </c>
      <c r="J62" s="160">
        <f t="shared" si="32"/>
        <v>0</v>
      </c>
      <c r="K62" s="160">
        <f t="shared" si="32"/>
        <v>0</v>
      </c>
      <c r="L62" s="160">
        <f t="shared" si="32"/>
        <v>0</v>
      </c>
      <c r="M62" s="160">
        <f t="shared" si="32"/>
        <v>0</v>
      </c>
      <c r="N62" s="160">
        <f t="shared" si="32"/>
        <v>0</v>
      </c>
      <c r="O62" s="160">
        <f t="shared" si="32"/>
        <v>0</v>
      </c>
      <c r="P62" s="160">
        <f t="shared" si="32"/>
        <v>0</v>
      </c>
      <c r="Q62" s="160">
        <f t="shared" si="32"/>
        <v>0</v>
      </c>
      <c r="R62" s="160">
        <f t="shared" si="32"/>
        <v>0</v>
      </c>
      <c r="S62" s="160">
        <f>SUM(G62:R62)</f>
        <v>0</v>
      </c>
      <c r="T62" s="168">
        <f t="shared" ref="T62:V62" si="33">SUM(T19,T25,T31,T37,T43,T49,T55,T61)</f>
        <v>0</v>
      </c>
      <c r="U62" s="169">
        <f t="shared" si="33"/>
        <v>0</v>
      </c>
      <c r="V62" s="170">
        <f t="shared" si="33"/>
        <v>0</v>
      </c>
      <c r="W62" s="3"/>
      <c r="X62" s="3"/>
      <c r="Y62" s="3"/>
      <c r="Z62" s="3"/>
    </row>
    <row r="63" ht="15.75" customHeight="1">
      <c r="A63" s="120">
        <v>36647.0</v>
      </c>
      <c r="B63" s="139" t="str">
        <f>Input!H$26</f>
        <v/>
      </c>
      <c r="C63" s="3"/>
      <c r="D63" s="95">
        <v>9.0</v>
      </c>
      <c r="E63" s="161" t="s">
        <v>29</v>
      </c>
      <c r="F63" s="155" t="s">
        <v>210</v>
      </c>
      <c r="G63" s="171">
        <v>37712.0</v>
      </c>
      <c r="H63" s="171">
        <v>37742.0</v>
      </c>
      <c r="I63" s="171">
        <v>37773.0</v>
      </c>
      <c r="J63" s="171">
        <v>37803.0</v>
      </c>
      <c r="K63" s="171">
        <v>37834.0</v>
      </c>
      <c r="L63" s="171">
        <v>37865.0</v>
      </c>
      <c r="M63" s="171">
        <v>37895.0</v>
      </c>
      <c r="N63" s="171">
        <v>37926.0</v>
      </c>
      <c r="O63" s="171">
        <v>37956.0</v>
      </c>
      <c r="P63" s="171">
        <v>37987.0</v>
      </c>
      <c r="Q63" s="171">
        <v>38018.0</v>
      </c>
      <c r="R63" s="171">
        <v>38047.0</v>
      </c>
      <c r="S63" s="97">
        <f>SUM(Input!G32:R32)</f>
        <v>0</v>
      </c>
      <c r="T63" s="153"/>
      <c r="U63" s="151"/>
      <c r="V63" s="83"/>
      <c r="W63" s="3"/>
      <c r="X63" s="3"/>
      <c r="Y63" s="3"/>
      <c r="Z63" s="3"/>
    </row>
    <row r="64" ht="15.75" customHeight="1">
      <c r="A64" s="120">
        <v>36678.0</v>
      </c>
      <c r="B64" s="139" t="str">
        <f>Input!I$26</f>
        <v/>
      </c>
      <c r="C64" s="3"/>
      <c r="D64" s="95"/>
      <c r="E64" s="161"/>
      <c r="F64" s="156" t="s">
        <v>211</v>
      </c>
      <c r="G64" s="159">
        <f>IF(Input!G32=0,0,INT((Input!G32*8.33/100)+0.5))</f>
        <v>0</v>
      </c>
      <c r="H64" s="159">
        <f>IF(Input!H32=0,0,INT((Input!H32*8.33/100)+0.5))</f>
        <v>0</v>
      </c>
      <c r="I64" s="159">
        <f>IF(Input!I32=0,0,INT((Input!I32*8.33/100)+0.5))</f>
        <v>0</v>
      </c>
      <c r="J64" s="159">
        <f>IF(Input!J32=0,0,INT((Input!J32*8.33/100)+0.5))</f>
        <v>0</v>
      </c>
      <c r="K64" s="159">
        <f>IF(Input!K32=0,0,INT((Input!K32*8.33/100)+0.5))</f>
        <v>0</v>
      </c>
      <c r="L64" s="159">
        <f>IF(Input!L32=0,0,INT((Input!L32*8.33/100)+0.5))</f>
        <v>0</v>
      </c>
      <c r="M64" s="159">
        <f>IF(Input!M32=0,0,INT((Input!M32*8.33/100)+0.5))</f>
        <v>0</v>
      </c>
      <c r="N64" s="159">
        <f>IF(Input!N32=0,0,INT((Input!N32*8.33/100)+0.5))</f>
        <v>0</v>
      </c>
      <c r="O64" s="159">
        <f>IF(Input!O32=0,0,INT((Input!O32*8.33/100)+0.5))</f>
        <v>0</v>
      </c>
      <c r="P64" s="159">
        <f>IF(Input!P32=0,0,INT((Input!P32*8.33/100)+0.5))</f>
        <v>0</v>
      </c>
      <c r="Q64" s="159">
        <f>IF(Input!Q32=0,0,INT((Input!Q32*8.33/100)+0.5))</f>
        <v>0</v>
      </c>
      <c r="R64" s="159">
        <f>IF(Input!R32=0,0,INT((Input!R32*8.33/100)+0.5))</f>
        <v>0</v>
      </c>
      <c r="S64" s="160">
        <f t="shared" ref="S64:S66" si="34">SUM(G64:R64)</f>
        <v>0</v>
      </c>
      <c r="T64" s="153"/>
      <c r="U64" s="151"/>
      <c r="V64" s="83"/>
      <c r="W64" s="3"/>
      <c r="X64" s="3"/>
      <c r="Y64" s="3"/>
      <c r="Z64" s="3"/>
    </row>
    <row r="65" ht="15.75" customHeight="1">
      <c r="A65" s="120">
        <v>36708.0</v>
      </c>
      <c r="B65" s="139" t="str">
        <f>Input!J$26</f>
        <v/>
      </c>
      <c r="C65" s="3"/>
      <c r="D65" s="95"/>
      <c r="E65" s="161"/>
      <c r="F65" s="156" t="s">
        <v>212</v>
      </c>
      <c r="G65" s="159">
        <f>IF(Input!G32&lt;=$P$7,INT((Input!G32*8.33%)+0.5),INT(($P$7*8.33%)+0.5))</f>
        <v>0</v>
      </c>
      <c r="H65" s="159">
        <f>IF(Input!H32&lt;=$P$7,INT((Input!H32*8.33%)+0.5),INT(($P$7*8.33%)+0.5))</f>
        <v>0</v>
      </c>
      <c r="I65" s="159">
        <f>IF(Input!I32&lt;=$P$7,INT((Input!I32*8.33%)+0.5),INT(($P$7*8.33%)+0.5))</f>
        <v>0</v>
      </c>
      <c r="J65" s="159">
        <f>IF(Input!J32&lt;=$P$7,INT((Input!J32*8.33%)+0.5),INT(($P$7*8.33%)+0.5))</f>
        <v>0</v>
      </c>
      <c r="K65" s="159">
        <f>IF(Input!K32&lt;=$P$7,INT((Input!K32*8.33%)+0.5),INT(($P$7*8.33%)+0.5))</f>
        <v>0</v>
      </c>
      <c r="L65" s="159">
        <f>IF(Input!L32&lt;=$P$7,INT((Input!L32*8.33%)+0.5),INT(($P$7*8.33%)+0.5))</f>
        <v>0</v>
      </c>
      <c r="M65" s="159">
        <f>IF(Input!M32&lt;=$P$7,INT((Input!M32*8.33%)+0.5),INT(($P$7*8.33%)+0.5))</f>
        <v>0</v>
      </c>
      <c r="N65" s="159">
        <f>IF(Input!N32&lt;=$P$7,INT((Input!N32*8.33%)+0.5),INT(($P$7*8.33%)+0.5))</f>
        <v>0</v>
      </c>
      <c r="O65" s="159">
        <f>IF(Input!O32&lt;=$P$7,INT((Input!O32*8.33%)+0.5),INT(($P$7*8.33%)+0.5))</f>
        <v>0</v>
      </c>
      <c r="P65" s="159">
        <f>IF(Input!P32&lt;=$P$7,INT((Input!P32*8.33%)+0.5),INT(($P$7*8.33%)+0.5))</f>
        <v>0</v>
      </c>
      <c r="Q65" s="159">
        <f>IF(Input!Q32&lt;=$P$7,INT((Input!Q32*8.33%)+0.5),INT(($P$7*8.33%)+0.5))</f>
        <v>0</v>
      </c>
      <c r="R65" s="159">
        <f>IF(Input!R32&lt;=$P$7,INT((Input!R32*8.33%)+0.5),INT(($P$7*8.33%)+0.5))</f>
        <v>0</v>
      </c>
      <c r="S65" s="160">
        <f t="shared" si="34"/>
        <v>0</v>
      </c>
      <c r="T65" s="153"/>
      <c r="U65" s="151"/>
      <c r="V65" s="83"/>
      <c r="W65" s="3"/>
      <c r="X65" s="3"/>
      <c r="Y65" s="3"/>
      <c r="Z65" s="3"/>
    </row>
    <row r="66" ht="15.75" customHeight="1">
      <c r="A66" s="120">
        <v>36739.0</v>
      </c>
      <c r="B66" s="139" t="str">
        <f>Input!K$26</f>
        <v/>
      </c>
      <c r="C66" s="3"/>
      <c r="D66" s="95"/>
      <c r="E66" s="161"/>
      <c r="F66" s="156" t="s">
        <v>213</v>
      </c>
      <c r="G66" s="160">
        <f t="shared" ref="G66:R66" si="35">IF(G64-G65&lt;=0,0,G64-G65)</f>
        <v>0</v>
      </c>
      <c r="H66" s="160">
        <f t="shared" si="35"/>
        <v>0</v>
      </c>
      <c r="I66" s="160">
        <f t="shared" si="35"/>
        <v>0</v>
      </c>
      <c r="J66" s="160">
        <f t="shared" si="35"/>
        <v>0</v>
      </c>
      <c r="K66" s="160">
        <f t="shared" si="35"/>
        <v>0</v>
      </c>
      <c r="L66" s="160">
        <f t="shared" si="35"/>
        <v>0</v>
      </c>
      <c r="M66" s="160">
        <f t="shared" si="35"/>
        <v>0</v>
      </c>
      <c r="N66" s="160">
        <f t="shared" si="35"/>
        <v>0</v>
      </c>
      <c r="O66" s="160">
        <f t="shared" si="35"/>
        <v>0</v>
      </c>
      <c r="P66" s="160">
        <f t="shared" si="35"/>
        <v>0</v>
      </c>
      <c r="Q66" s="160">
        <f t="shared" si="35"/>
        <v>0</v>
      </c>
      <c r="R66" s="160">
        <f t="shared" si="35"/>
        <v>0</v>
      </c>
      <c r="S66" s="160">
        <f t="shared" si="34"/>
        <v>0</v>
      </c>
      <c r="T66" s="153"/>
      <c r="U66" s="151"/>
      <c r="V66" s="83"/>
      <c r="W66" s="3"/>
      <c r="X66" s="3"/>
      <c r="Y66" s="3"/>
      <c r="Z66" s="3"/>
    </row>
    <row r="67" ht="15.75" customHeight="1">
      <c r="A67" s="120">
        <v>36770.0</v>
      </c>
      <c r="B67" s="139" t="str">
        <f>Input!L$26</f>
        <v/>
      </c>
      <c r="C67" s="3"/>
      <c r="D67" s="95"/>
      <c r="E67" s="161" t="s">
        <v>214</v>
      </c>
      <c r="F67" s="156" t="s">
        <v>215</v>
      </c>
      <c r="G67" s="160">
        <f>IF(G63=0,0,IF($T$11&lt;=Input!G31,0,R60+R61+U61))</f>
        <v>0</v>
      </c>
      <c r="H67" s="160">
        <f>IF(H63=0,0,IF($T$11&lt;=Input!H31,0,G66+G67))</f>
        <v>0</v>
      </c>
      <c r="I67" s="160">
        <f>IF(I63=0,0,IF($T$11&lt;=Input!I31,0,H66+H67))</f>
        <v>0</v>
      </c>
      <c r="J67" s="160">
        <f>IF(J63=0,0,IF($T$11&lt;=Input!J31,0,I66+I67))</f>
        <v>0</v>
      </c>
      <c r="K67" s="160">
        <f>IF(K63=0,0,IF($T$11&lt;=Input!K31,0,J66+J67))</f>
        <v>0</v>
      </c>
      <c r="L67" s="160">
        <f>IF(L63=0,0,IF($T$11&lt;=Input!L31,0,K66+K67))</f>
        <v>0</v>
      </c>
      <c r="M67" s="160">
        <f>IF(M63=0,0,IF($T$11&lt;=Input!M31,0,L66+L67))</f>
        <v>0</v>
      </c>
      <c r="N67" s="160">
        <f>IF(N63=0,0,IF($T$11&lt;=Input!N31,0,M66+M67))</f>
        <v>0</v>
      </c>
      <c r="O67" s="160">
        <f>IF(O63=0,0,IF($T$11&lt;=Input!O31,0,N66+N67))</f>
        <v>0</v>
      </c>
      <c r="P67" s="160">
        <f>IF(P63=0,0,IF($T$11&lt;=Input!P31,0,O66+O67))</f>
        <v>0</v>
      </c>
      <c r="Q67" s="160">
        <f>IF(Q63=0,0,IF($T$11&lt;=Input!Q31,0,P66+P67))</f>
        <v>0</v>
      </c>
      <c r="R67" s="160">
        <f>IF(R63=0,0,IF($T$11&lt;=Input!R31,0,Q66+Q67))</f>
        <v>0</v>
      </c>
      <c r="S67" s="160"/>
      <c r="T67" s="162">
        <f>SUM(G66:R66)</f>
        <v>0</v>
      </c>
      <c r="U67" s="160">
        <f>SUM(G68:R68)</f>
        <v>0</v>
      </c>
      <c r="V67" s="163">
        <f>SUM(T67,U67)</f>
        <v>0</v>
      </c>
      <c r="W67" s="3"/>
      <c r="X67" s="3"/>
      <c r="Y67" s="3"/>
      <c r="Z67" s="3"/>
    </row>
    <row r="68" ht="15.75" customHeight="1">
      <c r="A68" s="120">
        <v>36800.0</v>
      </c>
      <c r="B68" s="139" t="str">
        <f>Input!M$26</f>
        <v/>
      </c>
      <c r="C68" s="3"/>
      <c r="D68" s="95"/>
      <c r="E68" s="164">
        <v>0.095</v>
      </c>
      <c r="F68" s="165" t="s">
        <v>216</v>
      </c>
      <c r="G68" s="97">
        <f t="shared" ref="G68:R68" si="36">G67/12*$E68</f>
        <v>0</v>
      </c>
      <c r="H68" s="160">
        <f t="shared" si="36"/>
        <v>0</v>
      </c>
      <c r="I68" s="160">
        <f t="shared" si="36"/>
        <v>0</v>
      </c>
      <c r="J68" s="160">
        <f t="shared" si="36"/>
        <v>0</v>
      </c>
      <c r="K68" s="160">
        <f t="shared" si="36"/>
        <v>0</v>
      </c>
      <c r="L68" s="160">
        <f t="shared" si="36"/>
        <v>0</v>
      </c>
      <c r="M68" s="160">
        <f t="shared" si="36"/>
        <v>0</v>
      </c>
      <c r="N68" s="160">
        <f t="shared" si="36"/>
        <v>0</v>
      </c>
      <c r="O68" s="160">
        <f t="shared" si="36"/>
        <v>0</v>
      </c>
      <c r="P68" s="160">
        <f t="shared" si="36"/>
        <v>0</v>
      </c>
      <c r="Q68" s="160">
        <f t="shared" si="36"/>
        <v>0</v>
      </c>
      <c r="R68" s="160">
        <f t="shared" si="36"/>
        <v>0</v>
      </c>
      <c r="S68" s="160">
        <f>SUM(G68:R68)</f>
        <v>0</v>
      </c>
      <c r="T68" s="168">
        <f t="shared" ref="T68:V68" si="37">SUM(T19,T25,T31,T37,T43,T49,T55,T61,T67)</f>
        <v>0</v>
      </c>
      <c r="U68" s="169">
        <f t="shared" si="37"/>
        <v>0</v>
      </c>
      <c r="V68" s="170">
        <f t="shared" si="37"/>
        <v>0</v>
      </c>
      <c r="W68" s="3"/>
      <c r="X68" s="3"/>
      <c r="Y68" s="3"/>
      <c r="Z68" s="3"/>
    </row>
    <row r="69" ht="15.75" customHeight="1">
      <c r="A69" s="120">
        <v>36831.0</v>
      </c>
      <c r="B69" s="139" t="str">
        <f>Input!N$26</f>
        <v/>
      </c>
      <c r="C69" s="3"/>
      <c r="D69" s="95">
        <v>10.0</v>
      </c>
      <c r="E69" s="161" t="s">
        <v>30</v>
      </c>
      <c r="F69" s="155" t="s">
        <v>210</v>
      </c>
      <c r="G69" s="171">
        <v>38078.0</v>
      </c>
      <c r="H69" s="171">
        <v>38108.0</v>
      </c>
      <c r="I69" s="171">
        <v>38139.0</v>
      </c>
      <c r="J69" s="171">
        <v>38169.0</v>
      </c>
      <c r="K69" s="171">
        <v>38200.0</v>
      </c>
      <c r="L69" s="171">
        <v>38231.0</v>
      </c>
      <c r="M69" s="171">
        <v>38261.0</v>
      </c>
      <c r="N69" s="171">
        <v>38292.0</v>
      </c>
      <c r="O69" s="171">
        <v>38322.0</v>
      </c>
      <c r="P69" s="171">
        <v>38353.0</v>
      </c>
      <c r="Q69" s="171">
        <v>38384.0</v>
      </c>
      <c r="R69" s="171">
        <v>38412.0</v>
      </c>
      <c r="S69" s="97">
        <f>SUM(Input!G34:R34)</f>
        <v>0</v>
      </c>
      <c r="T69" s="153"/>
      <c r="U69" s="151"/>
      <c r="V69" s="83"/>
      <c r="W69" s="3"/>
      <c r="X69" s="3"/>
      <c r="Y69" s="3"/>
      <c r="Z69" s="3"/>
    </row>
    <row r="70" ht="15.75" customHeight="1">
      <c r="A70" s="120">
        <v>36861.0</v>
      </c>
      <c r="B70" s="139" t="str">
        <f>Input!O$26</f>
        <v/>
      </c>
      <c r="C70" s="3"/>
      <c r="D70" s="95"/>
      <c r="E70" s="161"/>
      <c r="F70" s="156" t="s">
        <v>211</v>
      </c>
      <c r="G70" s="159">
        <f>IF(Input!G34=0,0,INT((Input!G34*8.33/100)+0.5))</f>
        <v>0</v>
      </c>
      <c r="H70" s="159">
        <f>IF(Input!H34=0,0,INT((Input!H34*8.33/100)+0.5))</f>
        <v>0</v>
      </c>
      <c r="I70" s="159">
        <f>IF(Input!I34=0,0,INT((Input!I34*8.33/100)+0.5))</f>
        <v>0</v>
      </c>
      <c r="J70" s="159">
        <f>IF(Input!J34=0,0,INT((Input!J34*8.33/100)+0.5))</f>
        <v>0</v>
      </c>
      <c r="K70" s="159">
        <f>IF(Input!K34=0,0,INT((Input!K34*8.33/100)+0.5))</f>
        <v>0</v>
      </c>
      <c r="L70" s="159">
        <f>IF(Input!L34=0,0,INT((Input!L34*8.33/100)+0.5))</f>
        <v>0</v>
      </c>
      <c r="M70" s="159">
        <f>IF(Input!M34=0,0,INT((Input!M34*8.33/100)+0.5))</f>
        <v>0</v>
      </c>
      <c r="N70" s="159">
        <f>IF(Input!N34=0,0,INT((Input!N34*8.33/100)+0.5))</f>
        <v>0</v>
      </c>
      <c r="O70" s="159">
        <f>IF(Input!O34=0,0,INT((Input!O34*8.33/100)+0.5))</f>
        <v>0</v>
      </c>
      <c r="P70" s="159">
        <f>IF(Input!P34=0,0,INT((Input!P34*8.33/100)+0.5))</f>
        <v>0</v>
      </c>
      <c r="Q70" s="159">
        <f>IF(Input!Q34=0,0,INT((Input!Q34*8.33/100)+0.5))</f>
        <v>0</v>
      </c>
      <c r="R70" s="159">
        <f>IF(Input!R34=0,0,INT((Input!R34*8.33/100)+0.5))</f>
        <v>0</v>
      </c>
      <c r="S70" s="160">
        <f t="shared" ref="S70:S72" si="38">SUM(G70:R70)</f>
        <v>0</v>
      </c>
      <c r="T70" s="153"/>
      <c r="U70" s="151"/>
      <c r="V70" s="83"/>
      <c r="W70" s="3"/>
      <c r="X70" s="3"/>
      <c r="Y70" s="3"/>
      <c r="Z70" s="3"/>
    </row>
    <row r="71" ht="15.75" customHeight="1">
      <c r="A71" s="120">
        <v>36892.0</v>
      </c>
      <c r="B71" s="139" t="str">
        <f>Input!P$26</f>
        <v/>
      </c>
      <c r="C71" s="3"/>
      <c r="D71" s="95"/>
      <c r="E71" s="161"/>
      <c r="F71" s="156" t="s">
        <v>212</v>
      </c>
      <c r="G71" s="159">
        <f>IF(Input!G34&lt;=$P$7,INT((Input!G34*8.33%)+0.5),INT(($P$7*8.33%)+0.5))</f>
        <v>0</v>
      </c>
      <c r="H71" s="159">
        <f>IF(Input!H34&lt;=$P$7,INT((Input!H34*8.33%)+0.5),INT(($P$7*8.33%)+0.5))</f>
        <v>0</v>
      </c>
      <c r="I71" s="159">
        <f>IF(Input!I34&lt;=$P$7,INT((Input!I34*8.33%)+0.5),INT(($P$7*8.33%)+0.5))</f>
        <v>0</v>
      </c>
      <c r="J71" s="159">
        <f>IF(Input!J34&lt;=$P$7,INT((Input!J34*8.33%)+0.5),INT(($P$7*8.33%)+0.5))</f>
        <v>0</v>
      </c>
      <c r="K71" s="159">
        <f>IF(Input!K34&lt;=$P$7,INT((Input!K34*8.33%)+0.5),INT(($P$7*8.33%)+0.5))</f>
        <v>0</v>
      </c>
      <c r="L71" s="159">
        <f>IF(Input!L34&lt;=$P$7,INT((Input!L34*8.33%)+0.5),INT(($P$7*8.33%)+0.5))</f>
        <v>0</v>
      </c>
      <c r="M71" s="159">
        <f>IF(Input!M34&lt;=$P$7,INT((Input!M34*8.33%)+0.5),INT(($P$7*8.33%)+0.5))</f>
        <v>0</v>
      </c>
      <c r="N71" s="159">
        <f>IF(Input!N34&lt;=$P$7,INT((Input!N34*8.33%)+0.5),INT(($P$7*8.33%)+0.5))</f>
        <v>0</v>
      </c>
      <c r="O71" s="159">
        <f>IF(Input!O34&lt;=$P$7,INT((Input!O34*8.33%)+0.5),INT(($P$7*8.33%)+0.5))</f>
        <v>0</v>
      </c>
      <c r="P71" s="159">
        <f>IF(Input!P34&lt;=$P$7,INT((Input!P34*8.33%)+0.5),INT(($P$7*8.33%)+0.5))</f>
        <v>0</v>
      </c>
      <c r="Q71" s="159">
        <f>IF(Input!Q34&lt;=$P$7,INT((Input!Q34*8.33%)+0.5),INT(($P$7*8.33%)+0.5))</f>
        <v>0</v>
      </c>
      <c r="R71" s="159">
        <f>IF(Input!R34&lt;=$P$7,INT((Input!R34*8.33%)+0.5),INT(($P$7*8.33%)+0.5))</f>
        <v>0</v>
      </c>
      <c r="S71" s="160">
        <f t="shared" si="38"/>
        <v>0</v>
      </c>
      <c r="T71" s="153"/>
      <c r="U71" s="151"/>
      <c r="V71" s="83"/>
      <c r="W71" s="3"/>
      <c r="X71" s="3"/>
      <c r="Y71" s="3"/>
      <c r="Z71" s="3"/>
    </row>
    <row r="72" ht="15.75" customHeight="1">
      <c r="A72" s="120">
        <v>36923.0</v>
      </c>
      <c r="B72" s="139" t="str">
        <f>Input!Q$26</f>
        <v/>
      </c>
      <c r="C72" s="3"/>
      <c r="D72" s="95"/>
      <c r="E72" s="161"/>
      <c r="F72" s="156" t="s">
        <v>213</v>
      </c>
      <c r="G72" s="160">
        <f t="shared" ref="G72:R72" si="39">IF(G70-G71&lt;=0,0,G70-G71)</f>
        <v>0</v>
      </c>
      <c r="H72" s="160">
        <f t="shared" si="39"/>
        <v>0</v>
      </c>
      <c r="I72" s="160">
        <f t="shared" si="39"/>
        <v>0</v>
      </c>
      <c r="J72" s="160">
        <f t="shared" si="39"/>
        <v>0</v>
      </c>
      <c r="K72" s="160">
        <f t="shared" si="39"/>
        <v>0</v>
      </c>
      <c r="L72" s="160">
        <f t="shared" si="39"/>
        <v>0</v>
      </c>
      <c r="M72" s="160">
        <f t="shared" si="39"/>
        <v>0</v>
      </c>
      <c r="N72" s="160">
        <f t="shared" si="39"/>
        <v>0</v>
      </c>
      <c r="O72" s="160">
        <f t="shared" si="39"/>
        <v>0</v>
      </c>
      <c r="P72" s="160">
        <f t="shared" si="39"/>
        <v>0</v>
      </c>
      <c r="Q72" s="160">
        <f t="shared" si="39"/>
        <v>0</v>
      </c>
      <c r="R72" s="160">
        <f t="shared" si="39"/>
        <v>0</v>
      </c>
      <c r="S72" s="160">
        <f t="shared" si="38"/>
        <v>0</v>
      </c>
      <c r="T72" s="153"/>
      <c r="U72" s="151"/>
      <c r="V72" s="83"/>
      <c r="W72" s="3"/>
      <c r="X72" s="3"/>
      <c r="Y72" s="3"/>
      <c r="Z72" s="3"/>
    </row>
    <row r="73" ht="15.75" customHeight="1">
      <c r="A73" s="120">
        <v>36951.0</v>
      </c>
      <c r="B73" s="139" t="str">
        <f>Input!R$26</f>
        <v/>
      </c>
      <c r="C73" s="3"/>
      <c r="D73" s="95"/>
      <c r="E73" s="161" t="s">
        <v>214</v>
      </c>
      <c r="F73" s="156" t="s">
        <v>215</v>
      </c>
      <c r="G73" s="160">
        <f>IF(G69=0,0,IF($T$11&lt;=Input!G33,0,R66+R67+U67))</f>
        <v>0</v>
      </c>
      <c r="H73" s="160">
        <f>IF(H69=0,0,IF($T$11&lt;=Input!H33,0,G72+G73))</f>
        <v>0</v>
      </c>
      <c r="I73" s="160">
        <f>IF(I69=0,0,IF($T$11&lt;=Input!I33,0,H72+H73))</f>
        <v>0</v>
      </c>
      <c r="J73" s="160">
        <f>IF(J69=0,0,IF($T$11&lt;=Input!J33,0,I72+I73))</f>
        <v>0</v>
      </c>
      <c r="K73" s="160">
        <f>IF(K69=0,0,IF($T$11&lt;=Input!K33,0,J72+J73))</f>
        <v>0</v>
      </c>
      <c r="L73" s="160">
        <f>IF(L69=0,0,IF($T$11&lt;=Input!L33,0,K72+K73))</f>
        <v>0</v>
      </c>
      <c r="M73" s="160">
        <f>IF(M69=0,0,IF($T$11&lt;=Input!M33,0,L72+L73))</f>
        <v>0</v>
      </c>
      <c r="N73" s="160">
        <f>IF(N69=0,0,IF($T$11&lt;=Input!N33,0,M72+M73))</f>
        <v>0</v>
      </c>
      <c r="O73" s="160">
        <f>IF(O69=0,0,IF($T$11&lt;=Input!O33,0,N72+N73))</f>
        <v>0</v>
      </c>
      <c r="P73" s="160">
        <f>IF(P69=0,0,IF($T$11&lt;=Input!P33,0,O72+O73))</f>
        <v>0</v>
      </c>
      <c r="Q73" s="160">
        <f>IF(Q69=0,0,IF($T$11&lt;=Input!Q33,0,P72+P73))</f>
        <v>0</v>
      </c>
      <c r="R73" s="160">
        <f>IF(R69=0,0,IF($T$11&lt;=Input!R33,0,Q72+Q73))</f>
        <v>0</v>
      </c>
      <c r="S73" s="160"/>
      <c r="T73" s="162">
        <f>SUM(G72:R72)</f>
        <v>0</v>
      </c>
      <c r="U73" s="160">
        <f>SUM(G74:R74)</f>
        <v>0</v>
      </c>
      <c r="V73" s="163">
        <f>SUM(T73,U73)</f>
        <v>0</v>
      </c>
      <c r="W73" s="3"/>
      <c r="X73" s="3"/>
      <c r="Y73" s="3"/>
      <c r="Z73" s="3"/>
    </row>
    <row r="74" ht="15.75" customHeight="1">
      <c r="A74" s="120">
        <v>36982.0</v>
      </c>
      <c r="B74" s="139" t="str">
        <f>Input!G$28</f>
        <v/>
      </c>
      <c r="C74" s="3"/>
      <c r="D74" s="95"/>
      <c r="E74" s="164">
        <v>0.095</v>
      </c>
      <c r="F74" s="165" t="s">
        <v>216</v>
      </c>
      <c r="G74" s="97">
        <f t="shared" ref="G74:R74" si="40">G73/12*$E74</f>
        <v>0</v>
      </c>
      <c r="H74" s="160">
        <f t="shared" si="40"/>
        <v>0</v>
      </c>
      <c r="I74" s="160">
        <f t="shared" si="40"/>
        <v>0</v>
      </c>
      <c r="J74" s="160">
        <f t="shared" si="40"/>
        <v>0</v>
      </c>
      <c r="K74" s="160">
        <f t="shared" si="40"/>
        <v>0</v>
      </c>
      <c r="L74" s="160">
        <f t="shared" si="40"/>
        <v>0</v>
      </c>
      <c r="M74" s="160">
        <f t="shared" si="40"/>
        <v>0</v>
      </c>
      <c r="N74" s="160">
        <f t="shared" si="40"/>
        <v>0</v>
      </c>
      <c r="O74" s="160">
        <f t="shared" si="40"/>
        <v>0</v>
      </c>
      <c r="P74" s="160">
        <f t="shared" si="40"/>
        <v>0</v>
      </c>
      <c r="Q74" s="160">
        <f t="shared" si="40"/>
        <v>0</v>
      </c>
      <c r="R74" s="160">
        <f t="shared" si="40"/>
        <v>0</v>
      </c>
      <c r="S74" s="160">
        <f>SUM(G74:R74)</f>
        <v>0</v>
      </c>
      <c r="T74" s="168">
        <f t="shared" ref="T74:V74" si="41">SUM(T19,T25,T31,T37,T43,T49,T55,T61,T67,T73)</f>
        <v>0</v>
      </c>
      <c r="U74" s="169">
        <f t="shared" si="41"/>
        <v>0</v>
      </c>
      <c r="V74" s="170">
        <f t="shared" si="41"/>
        <v>0</v>
      </c>
      <c r="W74" s="3"/>
      <c r="X74" s="3"/>
      <c r="Y74" s="3"/>
      <c r="Z74" s="3"/>
    </row>
    <row r="75" ht="15.75" customHeight="1">
      <c r="A75" s="120">
        <v>37012.0</v>
      </c>
      <c r="B75" s="139" t="str">
        <f>Input!H$28</f>
        <v/>
      </c>
      <c r="C75" s="3"/>
      <c r="D75" s="95">
        <v>11.0</v>
      </c>
      <c r="E75" s="161" t="s">
        <v>31</v>
      </c>
      <c r="F75" s="155" t="s">
        <v>210</v>
      </c>
      <c r="G75" s="171">
        <v>38443.0</v>
      </c>
      <c r="H75" s="171">
        <v>38473.0</v>
      </c>
      <c r="I75" s="171">
        <v>38504.0</v>
      </c>
      <c r="J75" s="171">
        <v>38534.0</v>
      </c>
      <c r="K75" s="171">
        <v>38565.0</v>
      </c>
      <c r="L75" s="171">
        <v>38596.0</v>
      </c>
      <c r="M75" s="171">
        <v>38626.0</v>
      </c>
      <c r="N75" s="171">
        <v>38657.0</v>
      </c>
      <c r="O75" s="171">
        <v>38687.0</v>
      </c>
      <c r="P75" s="171">
        <v>38718.0</v>
      </c>
      <c r="Q75" s="171">
        <v>38749.0</v>
      </c>
      <c r="R75" s="171">
        <v>38777.0</v>
      </c>
      <c r="S75" s="97">
        <f>SUM(Input!G36:R36)</f>
        <v>0</v>
      </c>
      <c r="T75" s="153"/>
      <c r="U75" s="151"/>
      <c r="V75" s="83"/>
      <c r="W75" s="3"/>
      <c r="X75" s="3"/>
      <c r="Y75" s="3"/>
      <c r="Z75" s="3"/>
    </row>
    <row r="76" ht="15.75" customHeight="1">
      <c r="A76" s="120">
        <v>37043.0</v>
      </c>
      <c r="B76" s="139" t="str">
        <f>Input!I$28</f>
        <v/>
      </c>
      <c r="C76" s="3"/>
      <c r="D76" s="95"/>
      <c r="E76" s="161"/>
      <c r="F76" s="156" t="s">
        <v>211</v>
      </c>
      <c r="G76" s="159">
        <f>IF(Input!G36=0,0,INT((Input!G36*8.33/100)+0.5))</f>
        <v>0</v>
      </c>
      <c r="H76" s="159">
        <f>IF(Input!H36=0,0,INT((Input!H36*8.33/100)+0.5))</f>
        <v>0</v>
      </c>
      <c r="I76" s="159">
        <f>IF(Input!I36=0,0,INT((Input!I36*8.33/100)+0.5))</f>
        <v>0</v>
      </c>
      <c r="J76" s="159">
        <f>IF(Input!J36=0,0,INT((Input!J36*8.33/100)+0.5))</f>
        <v>0</v>
      </c>
      <c r="K76" s="159">
        <f>IF(Input!K36=0,0,INT((Input!K36*8.33/100)+0.5))</f>
        <v>0</v>
      </c>
      <c r="L76" s="159">
        <f>IF(Input!L36=0,0,INT((Input!L36*8.33/100)+0.5))</f>
        <v>0</v>
      </c>
      <c r="M76" s="159">
        <f>IF(Input!M36=0,0,INT((Input!M36*8.33/100)+0.5))</f>
        <v>0</v>
      </c>
      <c r="N76" s="159">
        <f>IF(Input!N36=0,0,INT((Input!N36*8.33/100)+0.5))</f>
        <v>0</v>
      </c>
      <c r="O76" s="159">
        <f>IF(Input!O36=0,0,INT((Input!O36*8.33/100)+0.5))</f>
        <v>0</v>
      </c>
      <c r="P76" s="159">
        <f>IF(Input!P36=0,0,INT((Input!P36*8.33/100)+0.5))</f>
        <v>0</v>
      </c>
      <c r="Q76" s="159">
        <f>IF(Input!Q36=0,0,INT((Input!Q36*8.33/100)+0.5))</f>
        <v>0</v>
      </c>
      <c r="R76" s="159">
        <f>IF(Input!R36=0,0,INT((Input!R36*8.33/100)+0.5))</f>
        <v>0</v>
      </c>
      <c r="S76" s="160">
        <f t="shared" ref="S76:S78" si="42">SUM(G76:R76)</f>
        <v>0</v>
      </c>
      <c r="T76" s="153"/>
      <c r="U76" s="151"/>
      <c r="V76" s="83"/>
      <c r="W76" s="3"/>
      <c r="X76" s="3"/>
      <c r="Y76" s="3"/>
      <c r="Z76" s="3"/>
    </row>
    <row r="77" ht="15.75" customHeight="1">
      <c r="A77" s="120">
        <v>37073.0</v>
      </c>
      <c r="B77" s="139" t="str">
        <f>Input!J$28</f>
        <v/>
      </c>
      <c r="C77" s="3"/>
      <c r="D77" s="95"/>
      <c r="E77" s="161"/>
      <c r="F77" s="156" t="s">
        <v>212</v>
      </c>
      <c r="G77" s="159">
        <f>IF(Input!G36&lt;=$P$7,INT((Input!G36*8.33%)+0.5),INT(($P$7*8.33%)+0.5))</f>
        <v>0</v>
      </c>
      <c r="H77" s="159">
        <f>IF(Input!H36&lt;=$P$7,INT((Input!H36*8.33%)+0.5),INT(($P$7*8.33%)+0.5))</f>
        <v>0</v>
      </c>
      <c r="I77" s="159">
        <f>IF(Input!I36&lt;=$P$7,INT((Input!I36*8.33%)+0.5),INT(($P$7*8.33%)+0.5))</f>
        <v>0</v>
      </c>
      <c r="J77" s="159">
        <f>IF(Input!J36&lt;=$P$7,INT((Input!J36*8.33%)+0.5),INT(($P$7*8.33%)+0.5))</f>
        <v>0</v>
      </c>
      <c r="K77" s="159">
        <f>IF(Input!K36&lt;=$P$7,INT((Input!K36*8.33%)+0.5),INT(($P$7*8.33%)+0.5))</f>
        <v>0</v>
      </c>
      <c r="L77" s="159">
        <f>IF(Input!L36&lt;=$P$7,INT((Input!L36*8.33%)+0.5),INT(($P$7*8.33%)+0.5))</f>
        <v>0</v>
      </c>
      <c r="M77" s="159">
        <f>IF(Input!M36&lt;=$P$7,INT((Input!M36*8.33%)+0.5),INT(($P$7*8.33%)+0.5))</f>
        <v>0</v>
      </c>
      <c r="N77" s="159">
        <f>IF(Input!N36&lt;=$P$7,INT((Input!N36*8.33%)+0.5),INT(($P$7*8.33%)+0.5))</f>
        <v>0</v>
      </c>
      <c r="O77" s="159">
        <f>IF(Input!O36&lt;=$P$7,INT((Input!O36*8.33%)+0.5),INT(($P$7*8.33%)+0.5))</f>
        <v>0</v>
      </c>
      <c r="P77" s="159">
        <f>IF(Input!P36&lt;=$P$7,INT((Input!P36*8.33%)+0.5),INT(($P$7*8.33%)+0.5))</f>
        <v>0</v>
      </c>
      <c r="Q77" s="159">
        <f>IF(Input!Q36&lt;=$P$7,INT((Input!Q36*8.33%)+0.5),INT(($P$7*8.33%)+0.5))</f>
        <v>0</v>
      </c>
      <c r="R77" s="159">
        <f>IF(Input!R36&lt;=$P$7,INT((Input!R36*8.33%)+0.5),INT(($P$7*8.33%)+0.5))</f>
        <v>0</v>
      </c>
      <c r="S77" s="160">
        <f t="shared" si="42"/>
        <v>0</v>
      </c>
      <c r="T77" s="153"/>
      <c r="U77" s="151"/>
      <c r="V77" s="83"/>
      <c r="W77" s="3"/>
      <c r="X77" s="3"/>
      <c r="Y77" s="3"/>
      <c r="Z77" s="3"/>
    </row>
    <row r="78" ht="15.75" customHeight="1">
      <c r="A78" s="120">
        <v>37104.0</v>
      </c>
      <c r="B78" s="139" t="str">
        <f>Input!K$28</f>
        <v/>
      </c>
      <c r="C78" s="3"/>
      <c r="D78" s="95"/>
      <c r="E78" s="161"/>
      <c r="F78" s="156" t="s">
        <v>213</v>
      </c>
      <c r="G78" s="160">
        <f t="shared" ref="G78:R78" si="43">IF(G76-G77&lt;=0,0,G76-G77)</f>
        <v>0</v>
      </c>
      <c r="H78" s="160">
        <f t="shared" si="43"/>
        <v>0</v>
      </c>
      <c r="I78" s="160">
        <f t="shared" si="43"/>
        <v>0</v>
      </c>
      <c r="J78" s="160">
        <f t="shared" si="43"/>
        <v>0</v>
      </c>
      <c r="K78" s="160">
        <f t="shared" si="43"/>
        <v>0</v>
      </c>
      <c r="L78" s="160">
        <f t="shared" si="43"/>
        <v>0</v>
      </c>
      <c r="M78" s="160">
        <f t="shared" si="43"/>
        <v>0</v>
      </c>
      <c r="N78" s="160">
        <f t="shared" si="43"/>
        <v>0</v>
      </c>
      <c r="O78" s="160">
        <f t="shared" si="43"/>
        <v>0</v>
      </c>
      <c r="P78" s="160">
        <f t="shared" si="43"/>
        <v>0</v>
      </c>
      <c r="Q78" s="160">
        <f t="shared" si="43"/>
        <v>0</v>
      </c>
      <c r="R78" s="160">
        <f t="shared" si="43"/>
        <v>0</v>
      </c>
      <c r="S78" s="160">
        <f t="shared" si="42"/>
        <v>0</v>
      </c>
      <c r="T78" s="153"/>
      <c r="U78" s="151"/>
      <c r="V78" s="83"/>
      <c r="W78" s="3"/>
      <c r="X78" s="3"/>
      <c r="Y78" s="3"/>
      <c r="Z78" s="3"/>
    </row>
    <row r="79" ht="15.75" customHeight="1">
      <c r="A79" s="120">
        <v>37135.0</v>
      </c>
      <c r="B79" s="139" t="str">
        <f>Input!L$28</f>
        <v/>
      </c>
      <c r="C79" s="3"/>
      <c r="D79" s="95"/>
      <c r="E79" s="161" t="s">
        <v>214</v>
      </c>
      <c r="F79" s="156" t="s">
        <v>215</v>
      </c>
      <c r="G79" s="160">
        <f>IF(G75=0,0,IF($T$11&lt;=Input!G35,0,R72+R73+U73))</f>
        <v>0</v>
      </c>
      <c r="H79" s="160">
        <f>IF(H75=0,0,IF($T$11&lt;=Input!H35,0,G78+G79))</f>
        <v>0</v>
      </c>
      <c r="I79" s="160">
        <f>IF(I75=0,0,IF($T$11&lt;=Input!I35,0,H78+H79))</f>
        <v>0</v>
      </c>
      <c r="J79" s="160">
        <f>IF(J75=0,0,IF($T$11&lt;=Input!J35,0,I78+I79))</f>
        <v>0</v>
      </c>
      <c r="K79" s="160">
        <f>IF(K75=0,0,IF($T$11&lt;=Input!K35,0,J78+J79))</f>
        <v>0</v>
      </c>
      <c r="L79" s="160">
        <f>IF(L75=0,0,IF($T$11&lt;=Input!L35,0,K78+K79))</f>
        <v>0</v>
      </c>
      <c r="M79" s="160">
        <f>IF(M75=0,0,IF($T$11&lt;=Input!M35,0,L78+L79))</f>
        <v>0</v>
      </c>
      <c r="N79" s="160">
        <f>IF(N75=0,0,IF($T$11&lt;=Input!N35,0,M78+M79))</f>
        <v>0</v>
      </c>
      <c r="O79" s="160">
        <f>IF(O75=0,0,IF($T$11&lt;=Input!O35,0,N78+N79))</f>
        <v>0</v>
      </c>
      <c r="P79" s="160">
        <f>IF(P75=0,0,IF($T$11&lt;=Input!P35,0,O78+O79))</f>
        <v>0</v>
      </c>
      <c r="Q79" s="160">
        <f>IF(Q75=0,0,IF($T$11&lt;=Input!Q35,0,P78+P79))</f>
        <v>0</v>
      </c>
      <c r="R79" s="160">
        <f>IF(R75=0,0,IF($T$11&lt;=Input!R35,0,Q78+Q79))</f>
        <v>0</v>
      </c>
      <c r="S79" s="160"/>
      <c r="T79" s="162">
        <f>SUM(G78:R78)</f>
        <v>0</v>
      </c>
      <c r="U79" s="160">
        <f>SUM(G80:R80)</f>
        <v>0</v>
      </c>
      <c r="V79" s="163">
        <f>SUM(T79,U79)</f>
        <v>0</v>
      </c>
      <c r="W79" s="3"/>
      <c r="X79" s="3"/>
      <c r="Y79" s="3"/>
      <c r="Z79" s="3"/>
    </row>
    <row r="80" ht="15.75" customHeight="1">
      <c r="A80" s="120">
        <v>37165.0</v>
      </c>
      <c r="B80" s="139" t="str">
        <f>Input!M$28</f>
        <v/>
      </c>
      <c r="C80" s="3"/>
      <c r="D80" s="95"/>
      <c r="E80" s="164">
        <v>0.085</v>
      </c>
      <c r="F80" s="165" t="s">
        <v>216</v>
      </c>
      <c r="G80" s="97">
        <f t="shared" ref="G80:R80" si="44">G79/12*$E80</f>
        <v>0</v>
      </c>
      <c r="H80" s="160">
        <f t="shared" si="44"/>
        <v>0</v>
      </c>
      <c r="I80" s="160">
        <f t="shared" si="44"/>
        <v>0</v>
      </c>
      <c r="J80" s="160">
        <f t="shared" si="44"/>
        <v>0</v>
      </c>
      <c r="K80" s="160">
        <f t="shared" si="44"/>
        <v>0</v>
      </c>
      <c r="L80" s="160">
        <f t="shared" si="44"/>
        <v>0</v>
      </c>
      <c r="M80" s="160">
        <f t="shared" si="44"/>
        <v>0</v>
      </c>
      <c r="N80" s="160">
        <f t="shared" si="44"/>
        <v>0</v>
      </c>
      <c r="O80" s="160">
        <f t="shared" si="44"/>
        <v>0</v>
      </c>
      <c r="P80" s="160">
        <f t="shared" si="44"/>
        <v>0</v>
      </c>
      <c r="Q80" s="160">
        <f t="shared" si="44"/>
        <v>0</v>
      </c>
      <c r="R80" s="160">
        <f t="shared" si="44"/>
        <v>0</v>
      </c>
      <c r="S80" s="160">
        <f>SUM(G80:R80)</f>
        <v>0</v>
      </c>
      <c r="T80" s="168">
        <f t="shared" ref="T80:V80" si="45">SUM(T19,T25,T31,T37,T43,T49,T55,T61,T67,T73,T79)</f>
        <v>0</v>
      </c>
      <c r="U80" s="169">
        <f t="shared" si="45"/>
        <v>0</v>
      </c>
      <c r="V80" s="170">
        <f t="shared" si="45"/>
        <v>0</v>
      </c>
      <c r="W80" s="3"/>
      <c r="X80" s="3"/>
      <c r="Y80" s="3"/>
      <c r="Z80" s="3"/>
    </row>
    <row r="81" ht="15.75" customHeight="1">
      <c r="A81" s="120">
        <v>37196.0</v>
      </c>
      <c r="B81" s="139" t="str">
        <f>Input!N$28</f>
        <v/>
      </c>
      <c r="C81" s="3"/>
      <c r="D81" s="95">
        <v>12.0</v>
      </c>
      <c r="E81" s="161" t="s">
        <v>32</v>
      </c>
      <c r="F81" s="155" t="s">
        <v>210</v>
      </c>
      <c r="G81" s="171">
        <v>38808.0</v>
      </c>
      <c r="H81" s="171">
        <v>38838.0</v>
      </c>
      <c r="I81" s="171">
        <v>38869.0</v>
      </c>
      <c r="J81" s="171">
        <v>38899.0</v>
      </c>
      <c r="K81" s="171">
        <v>38930.0</v>
      </c>
      <c r="L81" s="171">
        <v>38961.0</v>
      </c>
      <c r="M81" s="171">
        <v>38991.0</v>
      </c>
      <c r="N81" s="171">
        <v>39022.0</v>
      </c>
      <c r="O81" s="171">
        <v>39052.0</v>
      </c>
      <c r="P81" s="171">
        <v>39083.0</v>
      </c>
      <c r="Q81" s="171">
        <v>39114.0</v>
      </c>
      <c r="R81" s="171">
        <v>39142.0</v>
      </c>
      <c r="S81" s="97">
        <f>SUM(Input!G38:R38)</f>
        <v>0</v>
      </c>
      <c r="T81" s="153"/>
      <c r="U81" s="151"/>
      <c r="V81" s="83"/>
      <c r="W81" s="3"/>
      <c r="X81" s="3"/>
      <c r="Y81" s="3"/>
      <c r="Z81" s="3"/>
    </row>
    <row r="82" ht="15.75" customHeight="1">
      <c r="A82" s="120">
        <v>37226.0</v>
      </c>
      <c r="B82" s="139" t="str">
        <f>Input!O$28</f>
        <v/>
      </c>
      <c r="C82" s="3"/>
      <c r="D82" s="95"/>
      <c r="E82" s="161"/>
      <c r="F82" s="156" t="s">
        <v>211</v>
      </c>
      <c r="G82" s="159">
        <f>IF(Input!G38=0,0,INT((Input!G38*8.33/100)+0.5))</f>
        <v>0</v>
      </c>
      <c r="H82" s="159">
        <f>IF(Input!H38=0,0,INT((Input!H38*8.33/100)+0.5))</f>
        <v>0</v>
      </c>
      <c r="I82" s="159">
        <f>IF(Input!I38=0,0,INT((Input!I38*8.33/100)+0.5))</f>
        <v>0</v>
      </c>
      <c r="J82" s="159">
        <f>IF(Input!J38=0,0,INT((Input!J38*8.33/100)+0.5))</f>
        <v>0</v>
      </c>
      <c r="K82" s="159">
        <f>IF(Input!K38=0,0,INT((Input!K38*8.33/100)+0.5))</f>
        <v>0</v>
      </c>
      <c r="L82" s="159">
        <f>IF(Input!L38=0,0,INT((Input!L38*8.33/100)+0.5))</f>
        <v>0</v>
      </c>
      <c r="M82" s="159">
        <f>IF(Input!M38=0,0,INT((Input!M38*8.33/100)+0.5))</f>
        <v>0</v>
      </c>
      <c r="N82" s="159">
        <f>IF(Input!N38=0,0,INT((Input!N38*8.33/100)+0.5))</f>
        <v>0</v>
      </c>
      <c r="O82" s="159">
        <f>IF(Input!O38=0,0,INT((Input!O38*8.33/100)+0.5))</f>
        <v>0</v>
      </c>
      <c r="P82" s="159">
        <f>IF(Input!P38=0,0,INT((Input!P38*8.33/100)+0.5))</f>
        <v>0</v>
      </c>
      <c r="Q82" s="159">
        <f>IF(Input!Q38=0,0,INT((Input!Q38*8.33/100)+0.5))</f>
        <v>0</v>
      </c>
      <c r="R82" s="159">
        <f>IF(Input!R38=0,0,INT((Input!R38*8.33/100)+0.5))</f>
        <v>0</v>
      </c>
      <c r="S82" s="160">
        <f t="shared" ref="S82:S84" si="46">SUM(G82:R82)</f>
        <v>0</v>
      </c>
      <c r="T82" s="153"/>
      <c r="U82" s="151"/>
      <c r="V82" s="83"/>
      <c r="W82" s="3"/>
      <c r="X82" s="3"/>
      <c r="Y82" s="3"/>
      <c r="Z82" s="3"/>
    </row>
    <row r="83" ht="15.75" customHeight="1">
      <c r="A83" s="120">
        <v>37257.0</v>
      </c>
      <c r="B83" s="139" t="str">
        <f>Input!P$28</f>
        <v/>
      </c>
      <c r="C83" s="3"/>
      <c r="D83" s="95"/>
      <c r="E83" s="161"/>
      <c r="F83" s="156" t="s">
        <v>212</v>
      </c>
      <c r="G83" s="159">
        <f>IF(Input!G38&lt;=$P$7,INT((Input!G38*8.33%)+0.5),INT(($P$7*8.33%)+0.5))</f>
        <v>0</v>
      </c>
      <c r="H83" s="159">
        <f>IF(Input!H38&lt;=$P$7,INT((Input!H38*8.33%)+0.5),INT(($P$7*8.33%)+0.5))</f>
        <v>0</v>
      </c>
      <c r="I83" s="159">
        <f>IF(Input!I38&lt;=$P$7,INT((Input!I38*8.33%)+0.5),INT(($P$7*8.33%)+0.5))</f>
        <v>0</v>
      </c>
      <c r="J83" s="159">
        <f>IF(Input!J38&lt;=$P$7,INT((Input!J38*8.33%)+0.5),INT(($P$7*8.33%)+0.5))</f>
        <v>0</v>
      </c>
      <c r="K83" s="159">
        <f>IF(Input!K38&lt;=$P$7,INT((Input!K38*8.33%)+0.5),INT(($P$7*8.33%)+0.5))</f>
        <v>0</v>
      </c>
      <c r="L83" s="159">
        <f>IF(Input!L38&lt;=$P$7,INT((Input!L38*8.33%)+0.5),INT(($P$7*8.33%)+0.5))</f>
        <v>0</v>
      </c>
      <c r="M83" s="159">
        <f>IF(Input!M38&lt;=$P$7,INT((Input!M38*8.33%)+0.5),INT(($P$7*8.33%)+0.5))</f>
        <v>0</v>
      </c>
      <c r="N83" s="159">
        <f>IF(Input!N38&lt;=$P$7,INT((Input!N38*8.33%)+0.5),INT(($P$7*8.33%)+0.5))</f>
        <v>0</v>
      </c>
      <c r="O83" s="159">
        <f>IF(Input!O38&lt;=$P$7,INT((Input!O38*8.33%)+0.5),INT(($P$7*8.33%)+0.5))</f>
        <v>0</v>
      </c>
      <c r="P83" s="159">
        <f>IF(Input!P38&lt;=$P$7,INT((Input!P38*8.33%)+0.5),INT(($P$7*8.33%)+0.5))</f>
        <v>0</v>
      </c>
      <c r="Q83" s="159">
        <f>IF(Input!Q38&lt;=$P$7,INT((Input!Q38*8.33%)+0.5),INT(($P$7*8.33%)+0.5))</f>
        <v>0</v>
      </c>
      <c r="R83" s="159">
        <f>IF(Input!R38&lt;=$P$7,INT((Input!R38*8.33%)+0.5),INT(($P$7*8.33%)+0.5))</f>
        <v>0</v>
      </c>
      <c r="S83" s="160">
        <f t="shared" si="46"/>
        <v>0</v>
      </c>
      <c r="T83" s="153"/>
      <c r="U83" s="151"/>
      <c r="V83" s="83"/>
      <c r="W83" s="3"/>
      <c r="X83" s="3"/>
      <c r="Y83" s="3"/>
      <c r="Z83" s="3"/>
    </row>
    <row r="84" ht="15.75" customHeight="1">
      <c r="A84" s="120">
        <v>37288.0</v>
      </c>
      <c r="B84" s="139" t="str">
        <f>Input!Q$28</f>
        <v/>
      </c>
      <c r="C84" s="3"/>
      <c r="D84" s="95"/>
      <c r="E84" s="161"/>
      <c r="F84" s="156" t="s">
        <v>213</v>
      </c>
      <c r="G84" s="160">
        <f t="shared" ref="G84:R84" si="47">IF(G82-G83&lt;=0,0,G82-G83)</f>
        <v>0</v>
      </c>
      <c r="H84" s="160">
        <f t="shared" si="47"/>
        <v>0</v>
      </c>
      <c r="I84" s="160">
        <f t="shared" si="47"/>
        <v>0</v>
      </c>
      <c r="J84" s="160">
        <f t="shared" si="47"/>
        <v>0</v>
      </c>
      <c r="K84" s="160">
        <f t="shared" si="47"/>
        <v>0</v>
      </c>
      <c r="L84" s="160">
        <f t="shared" si="47"/>
        <v>0</v>
      </c>
      <c r="M84" s="160">
        <f t="shared" si="47"/>
        <v>0</v>
      </c>
      <c r="N84" s="160">
        <f t="shared" si="47"/>
        <v>0</v>
      </c>
      <c r="O84" s="160">
        <f t="shared" si="47"/>
        <v>0</v>
      </c>
      <c r="P84" s="160">
        <f t="shared" si="47"/>
        <v>0</v>
      </c>
      <c r="Q84" s="160">
        <f t="shared" si="47"/>
        <v>0</v>
      </c>
      <c r="R84" s="160">
        <f t="shared" si="47"/>
        <v>0</v>
      </c>
      <c r="S84" s="160">
        <f t="shared" si="46"/>
        <v>0</v>
      </c>
      <c r="T84" s="153"/>
      <c r="U84" s="151"/>
      <c r="V84" s="83"/>
      <c r="W84" s="3"/>
      <c r="X84" s="3"/>
      <c r="Y84" s="3"/>
      <c r="Z84" s="3"/>
    </row>
    <row r="85" ht="15.75" customHeight="1">
      <c r="A85" s="120">
        <v>37316.0</v>
      </c>
      <c r="B85" s="139" t="str">
        <f>Input!R$28</f>
        <v/>
      </c>
      <c r="C85" s="3"/>
      <c r="D85" s="95"/>
      <c r="E85" s="161" t="s">
        <v>214</v>
      </c>
      <c r="F85" s="156" t="s">
        <v>215</v>
      </c>
      <c r="G85" s="160">
        <f>IF(G81=0,0,IF($T$11&lt;=Input!G37,0,R78+R79+U79))</f>
        <v>0</v>
      </c>
      <c r="H85" s="160">
        <f>IF(H81=0,0,IF($T$11&lt;=Input!H37,0,G84+G85))</f>
        <v>0</v>
      </c>
      <c r="I85" s="160">
        <f>IF(I81=0,0,IF($T$11&lt;=Input!I37,0,H84+H85))</f>
        <v>0</v>
      </c>
      <c r="J85" s="160">
        <f>IF(J81=0,0,IF($T$11&lt;=Input!J37,0,I84+I85))</f>
        <v>0</v>
      </c>
      <c r="K85" s="160">
        <f>IF(K81=0,0,IF($T$11&lt;=Input!K37,0,J84+J85))</f>
        <v>0</v>
      </c>
      <c r="L85" s="160">
        <f>IF(L81=0,0,IF($T$11&lt;=Input!L37,0,K84+K85))</f>
        <v>0</v>
      </c>
      <c r="M85" s="160">
        <f>IF(M81=0,0,IF($T$11&lt;=Input!M37,0,L84+L85))</f>
        <v>0</v>
      </c>
      <c r="N85" s="160">
        <f>IF(N81=0,0,IF($T$11&lt;=Input!N37,0,M84+M85))</f>
        <v>0</v>
      </c>
      <c r="O85" s="160">
        <f>IF(O81=0,0,IF($T$11&lt;=Input!O37,0,N84+N85))</f>
        <v>0</v>
      </c>
      <c r="P85" s="160">
        <f>IF(P81=0,0,IF($T$11&lt;=Input!P37,0,O84+O85))</f>
        <v>0</v>
      </c>
      <c r="Q85" s="160">
        <f>IF(Q81=0,0,IF($T$11&lt;=Input!Q37,0,P84+P85))</f>
        <v>0</v>
      </c>
      <c r="R85" s="160">
        <f>IF(R81=0,0,IF($T$11&lt;=Input!R37,0,Q84+Q85))</f>
        <v>0</v>
      </c>
      <c r="S85" s="160"/>
      <c r="T85" s="162">
        <f>SUM(G84:R84)</f>
        <v>0</v>
      </c>
      <c r="U85" s="160">
        <f>SUM(G86:R86)</f>
        <v>0</v>
      </c>
      <c r="V85" s="163">
        <f>SUM(T85,U85)</f>
        <v>0</v>
      </c>
      <c r="W85" s="3"/>
      <c r="X85" s="3"/>
      <c r="Y85" s="3"/>
      <c r="Z85" s="3"/>
    </row>
    <row r="86" ht="15.75" customHeight="1">
      <c r="A86" s="120">
        <v>37347.0</v>
      </c>
      <c r="B86" s="139" t="str">
        <f>Input!G$30</f>
        <v/>
      </c>
      <c r="C86" s="3"/>
      <c r="D86" s="95"/>
      <c r="E86" s="164">
        <v>0.085</v>
      </c>
      <c r="F86" s="165" t="s">
        <v>216</v>
      </c>
      <c r="G86" s="97">
        <f t="shared" ref="G86:R86" si="48">G85/12*$E86</f>
        <v>0</v>
      </c>
      <c r="H86" s="160">
        <f t="shared" si="48"/>
        <v>0</v>
      </c>
      <c r="I86" s="160">
        <f t="shared" si="48"/>
        <v>0</v>
      </c>
      <c r="J86" s="160">
        <f t="shared" si="48"/>
        <v>0</v>
      </c>
      <c r="K86" s="160">
        <f t="shared" si="48"/>
        <v>0</v>
      </c>
      <c r="L86" s="160">
        <f t="shared" si="48"/>
        <v>0</v>
      </c>
      <c r="M86" s="160">
        <f t="shared" si="48"/>
        <v>0</v>
      </c>
      <c r="N86" s="160">
        <f t="shared" si="48"/>
        <v>0</v>
      </c>
      <c r="O86" s="160">
        <f t="shared" si="48"/>
        <v>0</v>
      </c>
      <c r="P86" s="160">
        <f t="shared" si="48"/>
        <v>0</v>
      </c>
      <c r="Q86" s="160">
        <f t="shared" si="48"/>
        <v>0</v>
      </c>
      <c r="R86" s="160">
        <f t="shared" si="48"/>
        <v>0</v>
      </c>
      <c r="S86" s="160">
        <f>SUM(G86:R86)</f>
        <v>0</v>
      </c>
      <c r="T86" s="168">
        <f t="shared" ref="T86:V86" si="49">SUM(T19,T25,T31,T37,T43,T49,T55,T61,T67,T73,T79,T85)</f>
        <v>0</v>
      </c>
      <c r="U86" s="169">
        <f t="shared" si="49"/>
        <v>0</v>
      </c>
      <c r="V86" s="170">
        <f t="shared" si="49"/>
        <v>0</v>
      </c>
      <c r="W86" s="3"/>
      <c r="X86" s="3"/>
      <c r="Y86" s="3"/>
      <c r="Z86" s="3"/>
    </row>
    <row r="87" ht="15.75" customHeight="1">
      <c r="A87" s="120">
        <v>37377.0</v>
      </c>
      <c r="B87" s="139" t="str">
        <f>Input!H$30</f>
        <v/>
      </c>
      <c r="C87" s="3"/>
      <c r="D87" s="95">
        <v>13.0</v>
      </c>
      <c r="E87" s="161" t="s">
        <v>33</v>
      </c>
      <c r="F87" s="155" t="s">
        <v>210</v>
      </c>
      <c r="G87" s="171">
        <v>39173.0</v>
      </c>
      <c r="H87" s="171">
        <v>39203.0</v>
      </c>
      <c r="I87" s="171">
        <v>39234.0</v>
      </c>
      <c r="J87" s="171">
        <v>39264.0</v>
      </c>
      <c r="K87" s="171">
        <v>39295.0</v>
      </c>
      <c r="L87" s="171">
        <v>39326.0</v>
      </c>
      <c r="M87" s="171">
        <v>39356.0</v>
      </c>
      <c r="N87" s="171">
        <v>39387.0</v>
      </c>
      <c r="O87" s="171">
        <v>39417.0</v>
      </c>
      <c r="P87" s="171">
        <v>39448.0</v>
      </c>
      <c r="Q87" s="171">
        <v>39479.0</v>
      </c>
      <c r="R87" s="171">
        <v>39508.0</v>
      </c>
      <c r="S87" s="97">
        <f>SUM(Input!G40:R40)</f>
        <v>0</v>
      </c>
      <c r="T87" s="153"/>
      <c r="U87" s="151"/>
      <c r="V87" s="83"/>
      <c r="W87" s="3"/>
      <c r="X87" s="3"/>
      <c r="Y87" s="3"/>
      <c r="Z87" s="3"/>
    </row>
    <row r="88" ht="15.75" customHeight="1">
      <c r="A88" s="120">
        <v>37408.0</v>
      </c>
      <c r="B88" s="139" t="str">
        <f>Input!I$30</f>
        <v/>
      </c>
      <c r="C88" s="3"/>
      <c r="D88" s="95"/>
      <c r="E88" s="161"/>
      <c r="F88" s="156" t="s">
        <v>211</v>
      </c>
      <c r="G88" s="159">
        <f>IF(Input!G40=0,0,INT((Input!G40*8.33/100)+0.5))</f>
        <v>0</v>
      </c>
      <c r="H88" s="159">
        <f>IF(Input!H40=0,0,INT((Input!H40*8.33/100)+0.5))</f>
        <v>0</v>
      </c>
      <c r="I88" s="159">
        <f>IF(Input!I40=0,0,INT((Input!I40*8.33/100)+0.5))</f>
        <v>0</v>
      </c>
      <c r="J88" s="159">
        <f>IF(Input!J40=0,0,INT((Input!J40*8.33/100)+0.5))</f>
        <v>0</v>
      </c>
      <c r="K88" s="159">
        <f>IF(Input!K40=0,0,INT((Input!K40*8.33/100)+0.5))</f>
        <v>0</v>
      </c>
      <c r="L88" s="159">
        <f>IF(Input!L40=0,0,INT((Input!L40*8.33/100)+0.5))</f>
        <v>0</v>
      </c>
      <c r="M88" s="159">
        <f>IF(Input!M40=0,0,INT((Input!M40*8.33/100)+0.5))</f>
        <v>0</v>
      </c>
      <c r="N88" s="159">
        <f>IF(Input!N40=0,0,INT((Input!N40*8.33/100)+0.5))</f>
        <v>0</v>
      </c>
      <c r="O88" s="159">
        <f>IF(Input!O40=0,0,INT((Input!O40*8.33/100)+0.5))</f>
        <v>0</v>
      </c>
      <c r="P88" s="159">
        <f>IF(Input!P40=0,0,INT((Input!P40*8.33/100)+0.5))</f>
        <v>0</v>
      </c>
      <c r="Q88" s="159">
        <f>IF(Input!Q40=0,0,INT((Input!Q40*8.33/100)+0.5))</f>
        <v>0</v>
      </c>
      <c r="R88" s="159">
        <f>IF(Input!R40=0,0,INT((Input!R40*8.33/100)+0.5))</f>
        <v>0</v>
      </c>
      <c r="S88" s="160">
        <f t="shared" ref="S88:S90" si="50">SUM(G88:R88)</f>
        <v>0</v>
      </c>
      <c r="T88" s="153"/>
      <c r="U88" s="151"/>
      <c r="V88" s="83"/>
      <c r="W88" s="3"/>
      <c r="X88" s="3"/>
      <c r="Y88" s="3"/>
      <c r="Z88" s="3"/>
    </row>
    <row r="89" ht="15.75" customHeight="1">
      <c r="A89" s="120">
        <v>37438.0</v>
      </c>
      <c r="B89" s="139" t="str">
        <f>Input!J$30</f>
        <v/>
      </c>
      <c r="C89" s="3"/>
      <c r="D89" s="95"/>
      <c r="E89" s="161"/>
      <c r="F89" s="156" t="s">
        <v>212</v>
      </c>
      <c r="G89" s="159">
        <f>IF(Input!G40&lt;=$P$7,INT((Input!G40*8.33%)+0.5),INT(($P$7*8.33%)+0.5))</f>
        <v>0</v>
      </c>
      <c r="H89" s="159">
        <f>IF(Input!H40&lt;=$P$7,INT((Input!H40*8.33%)+0.5),INT(($P$7*8.33%)+0.5))</f>
        <v>0</v>
      </c>
      <c r="I89" s="159">
        <f>IF(Input!I40&lt;=$P$7,INT((Input!I40*8.33%)+0.5),INT(($P$7*8.33%)+0.5))</f>
        <v>0</v>
      </c>
      <c r="J89" s="159">
        <f>IF(Input!J40&lt;=$P$7,INT((Input!J40*8.33%)+0.5),INT(($P$7*8.33%)+0.5))</f>
        <v>0</v>
      </c>
      <c r="K89" s="159">
        <f>IF(Input!K40&lt;=$P$7,INT((Input!K40*8.33%)+0.5),INT(($P$7*8.33%)+0.5))</f>
        <v>0</v>
      </c>
      <c r="L89" s="159">
        <f>IF(Input!L40&lt;=$P$7,INT((Input!L40*8.33%)+0.5),INT(($P$7*8.33%)+0.5))</f>
        <v>0</v>
      </c>
      <c r="M89" s="159">
        <f>IF(Input!M40&lt;=$P$7,INT((Input!M40*8.33%)+0.5),INT(($P$7*8.33%)+0.5))</f>
        <v>0</v>
      </c>
      <c r="N89" s="159">
        <f>IF(Input!N40&lt;=$P$7,INT((Input!N40*8.33%)+0.5),INT(($P$7*8.33%)+0.5))</f>
        <v>0</v>
      </c>
      <c r="O89" s="159">
        <f>IF(Input!O40&lt;=$P$7,INT((Input!O40*8.33%)+0.5),INT(($P$7*8.33%)+0.5))</f>
        <v>0</v>
      </c>
      <c r="P89" s="159">
        <f>IF(Input!P40&lt;=$P$7,INT((Input!P40*8.33%)+0.5),INT(($P$7*8.33%)+0.5))</f>
        <v>0</v>
      </c>
      <c r="Q89" s="159">
        <f>IF(Input!Q40&lt;=$P$7,INT((Input!Q40*8.33%)+0.5),INT(($P$7*8.33%)+0.5))</f>
        <v>0</v>
      </c>
      <c r="R89" s="159">
        <f>IF(Input!R40&lt;=$P$7,INT((Input!R40*8.33%)+0.5),INT(($P$7*8.33%)+0.5))</f>
        <v>0</v>
      </c>
      <c r="S89" s="160">
        <f t="shared" si="50"/>
        <v>0</v>
      </c>
      <c r="T89" s="153"/>
      <c r="U89" s="151"/>
      <c r="V89" s="83"/>
      <c r="W89" s="3"/>
      <c r="X89" s="3"/>
      <c r="Y89" s="3"/>
      <c r="Z89" s="3"/>
    </row>
    <row r="90" ht="15.75" customHeight="1">
      <c r="A90" s="120">
        <v>37469.0</v>
      </c>
      <c r="B90" s="139" t="str">
        <f>Input!K$30</f>
        <v/>
      </c>
      <c r="C90" s="3"/>
      <c r="D90" s="95"/>
      <c r="E90" s="161"/>
      <c r="F90" s="156" t="s">
        <v>213</v>
      </c>
      <c r="G90" s="160">
        <f t="shared" ref="G90:R90" si="51">IF(G88-G89&lt;=0,0,G88-G89)</f>
        <v>0</v>
      </c>
      <c r="H90" s="160">
        <f t="shared" si="51"/>
        <v>0</v>
      </c>
      <c r="I90" s="160">
        <f t="shared" si="51"/>
        <v>0</v>
      </c>
      <c r="J90" s="160">
        <f t="shared" si="51"/>
        <v>0</v>
      </c>
      <c r="K90" s="160">
        <f t="shared" si="51"/>
        <v>0</v>
      </c>
      <c r="L90" s="160">
        <f t="shared" si="51"/>
        <v>0</v>
      </c>
      <c r="M90" s="160">
        <f t="shared" si="51"/>
        <v>0</v>
      </c>
      <c r="N90" s="160">
        <f t="shared" si="51"/>
        <v>0</v>
      </c>
      <c r="O90" s="160">
        <f t="shared" si="51"/>
        <v>0</v>
      </c>
      <c r="P90" s="160">
        <f t="shared" si="51"/>
        <v>0</v>
      </c>
      <c r="Q90" s="160">
        <f t="shared" si="51"/>
        <v>0</v>
      </c>
      <c r="R90" s="160">
        <f t="shared" si="51"/>
        <v>0</v>
      </c>
      <c r="S90" s="160">
        <f t="shared" si="50"/>
        <v>0</v>
      </c>
      <c r="T90" s="153"/>
      <c r="U90" s="151"/>
      <c r="V90" s="83"/>
      <c r="W90" s="3"/>
      <c r="X90" s="3"/>
      <c r="Y90" s="3"/>
      <c r="Z90" s="3"/>
    </row>
    <row r="91" ht="15.75" customHeight="1">
      <c r="A91" s="120">
        <v>37500.0</v>
      </c>
      <c r="B91" s="139" t="str">
        <f>Input!L$30</f>
        <v/>
      </c>
      <c r="C91" s="3"/>
      <c r="D91" s="95"/>
      <c r="E91" s="161" t="s">
        <v>214</v>
      </c>
      <c r="F91" s="156" t="s">
        <v>215</v>
      </c>
      <c r="G91" s="160">
        <f>IF(G87=0,0,IF($T$11&lt;=Input!G39,0,R84+R85+U85))</f>
        <v>0</v>
      </c>
      <c r="H91" s="160">
        <f>IF(H87=0,0,IF($T$11&lt;=Input!H39,0,G90+G91))</f>
        <v>0</v>
      </c>
      <c r="I91" s="160">
        <f>IF(I87=0,0,IF($T$11&lt;=Input!I39,0,H90+H91))</f>
        <v>0</v>
      </c>
      <c r="J91" s="160">
        <f>IF(J87=0,0,IF($T$11&lt;=Input!J39,0,I90+I91))</f>
        <v>0</v>
      </c>
      <c r="K91" s="160">
        <f>IF(K87=0,0,IF($T$11&lt;=Input!K39,0,J90+J91))</f>
        <v>0</v>
      </c>
      <c r="L91" s="160">
        <f>IF(L87=0,0,IF($T$11&lt;=Input!L39,0,K90+K91))</f>
        <v>0</v>
      </c>
      <c r="M91" s="160">
        <f>IF(M87=0,0,IF($T$11&lt;=Input!M39,0,L90+L91))</f>
        <v>0</v>
      </c>
      <c r="N91" s="160">
        <f>IF(N87=0,0,IF($T$11&lt;=Input!N39,0,M90+M91))</f>
        <v>0</v>
      </c>
      <c r="O91" s="160">
        <f>IF(O87=0,0,IF($T$11&lt;=Input!O39,0,N90+N91))</f>
        <v>0</v>
      </c>
      <c r="P91" s="160">
        <f>IF(P87=0,0,IF($T$11&lt;=Input!P39,0,O90+O91))</f>
        <v>0</v>
      </c>
      <c r="Q91" s="160">
        <f>IF(Q87=0,0,IF($T$11&lt;=Input!Q39,0,P90+P91))</f>
        <v>0</v>
      </c>
      <c r="R91" s="160">
        <f>IF(R87=0,0,IF($T$11&lt;=Input!R39,0,Q90+Q91))</f>
        <v>0</v>
      </c>
      <c r="S91" s="160"/>
      <c r="T91" s="162">
        <f>SUM(G90:R90)</f>
        <v>0</v>
      </c>
      <c r="U91" s="160">
        <f>SUM(G92:R92)</f>
        <v>0</v>
      </c>
      <c r="V91" s="163">
        <f>SUM(T91,U91)</f>
        <v>0</v>
      </c>
      <c r="W91" s="3"/>
      <c r="X91" s="3"/>
      <c r="Y91" s="3"/>
      <c r="Z91" s="3"/>
    </row>
    <row r="92" ht="15.75" customHeight="1">
      <c r="A92" s="120">
        <v>37530.0</v>
      </c>
      <c r="B92" s="139" t="str">
        <f>Input!M$30</f>
        <v/>
      </c>
      <c r="C92" s="3"/>
      <c r="D92" s="95"/>
      <c r="E92" s="164">
        <v>0.085</v>
      </c>
      <c r="F92" s="165" t="s">
        <v>216</v>
      </c>
      <c r="G92" s="97">
        <f t="shared" ref="G92:R92" si="52">G91/12*$E92</f>
        <v>0</v>
      </c>
      <c r="H92" s="160">
        <f t="shared" si="52"/>
        <v>0</v>
      </c>
      <c r="I92" s="160">
        <f t="shared" si="52"/>
        <v>0</v>
      </c>
      <c r="J92" s="160">
        <f t="shared" si="52"/>
        <v>0</v>
      </c>
      <c r="K92" s="160">
        <f t="shared" si="52"/>
        <v>0</v>
      </c>
      <c r="L92" s="160">
        <f t="shared" si="52"/>
        <v>0</v>
      </c>
      <c r="M92" s="160">
        <f t="shared" si="52"/>
        <v>0</v>
      </c>
      <c r="N92" s="160">
        <f t="shared" si="52"/>
        <v>0</v>
      </c>
      <c r="O92" s="160">
        <f t="shared" si="52"/>
        <v>0</v>
      </c>
      <c r="P92" s="160">
        <f t="shared" si="52"/>
        <v>0</v>
      </c>
      <c r="Q92" s="160">
        <f t="shared" si="52"/>
        <v>0</v>
      </c>
      <c r="R92" s="160">
        <f t="shared" si="52"/>
        <v>0</v>
      </c>
      <c r="S92" s="160">
        <f>SUM(G92:R92)</f>
        <v>0</v>
      </c>
      <c r="T92" s="168">
        <f t="shared" ref="T92:V92" si="53">SUM(T19,T25,T31,T37,T43,T49,T55,T61,T67,T73,T79,T85,T91)</f>
        <v>0</v>
      </c>
      <c r="U92" s="169">
        <f t="shared" si="53"/>
        <v>0</v>
      </c>
      <c r="V92" s="170">
        <f t="shared" si="53"/>
        <v>0</v>
      </c>
      <c r="W92" s="3"/>
      <c r="X92" s="3"/>
      <c r="Y92" s="3"/>
      <c r="Z92" s="3"/>
    </row>
    <row r="93" ht="15.75" customHeight="1">
      <c r="A93" s="120">
        <v>37561.0</v>
      </c>
      <c r="B93" s="139" t="str">
        <f>Input!N$30</f>
        <v/>
      </c>
      <c r="C93" s="3"/>
      <c r="D93" s="95">
        <v>14.0</v>
      </c>
      <c r="E93" s="161" t="s">
        <v>34</v>
      </c>
      <c r="F93" s="155" t="s">
        <v>210</v>
      </c>
      <c r="G93" s="171">
        <v>39539.0</v>
      </c>
      <c r="H93" s="171">
        <v>39569.0</v>
      </c>
      <c r="I93" s="179">
        <v>39600.0</v>
      </c>
      <c r="J93" s="171">
        <v>39630.0</v>
      </c>
      <c r="K93" s="171">
        <v>39661.0</v>
      </c>
      <c r="L93" s="171">
        <v>39692.0</v>
      </c>
      <c r="M93" s="171">
        <v>39722.0</v>
      </c>
      <c r="N93" s="171">
        <v>39753.0</v>
      </c>
      <c r="O93" s="171">
        <v>39783.0</v>
      </c>
      <c r="P93" s="171">
        <v>39814.0</v>
      </c>
      <c r="Q93" s="171">
        <v>39845.0</v>
      </c>
      <c r="R93" s="171">
        <v>39873.0</v>
      </c>
      <c r="S93" s="97">
        <f>SUM(Input!G42:R42)</f>
        <v>174178</v>
      </c>
      <c r="T93" s="153"/>
      <c r="U93" s="151"/>
      <c r="V93" s="83"/>
      <c r="W93" s="3"/>
      <c r="X93" s="3"/>
      <c r="Y93" s="3"/>
      <c r="Z93" s="3"/>
    </row>
    <row r="94" ht="15.75" customHeight="1">
      <c r="A94" s="120">
        <v>37591.0</v>
      </c>
      <c r="B94" s="139" t="str">
        <f>Input!O$30</f>
        <v/>
      </c>
      <c r="C94" s="3"/>
      <c r="D94" s="95"/>
      <c r="E94" s="161"/>
      <c r="F94" s="156" t="s">
        <v>211</v>
      </c>
      <c r="G94" s="159">
        <f>IF(Input!G42=0,0,INT((Input!G42*8.33/100)+0.5))</f>
        <v>0</v>
      </c>
      <c r="H94" s="159">
        <f>IF(Input!H42=0,0,INT((Input!H42*8.33/100)+0.5))</f>
        <v>0</v>
      </c>
      <c r="I94" s="159">
        <f>IF(Input!I42=0,0,INT((Input!I42*8.33/100)+0.5))</f>
        <v>0</v>
      </c>
      <c r="J94" s="159">
        <f>IF(Input!J42=0,0,INT((Input!J42*8.33/100)+0.5))</f>
        <v>0</v>
      </c>
      <c r="K94" s="159">
        <f>IF(Input!K42=0,0,INT((Input!K42*8.33/100)+0.5))</f>
        <v>0</v>
      </c>
      <c r="L94" s="159">
        <f>IF(Input!L42=0,0,INT((Input!L42*8.33/100)+0.5))</f>
        <v>0</v>
      </c>
      <c r="M94" s="159">
        <f>IF(Input!M42=0,0,INT((Input!M42*8.33/100)+0.5))</f>
        <v>0</v>
      </c>
      <c r="N94" s="159">
        <f>IF(Input!N42=0,0,INT((Input!N42*8.33/100)+0.5))</f>
        <v>0</v>
      </c>
      <c r="O94" s="159">
        <f>IF(Input!O42=0,0,INT((Input!O42*8.33/100)+0.5))</f>
        <v>0</v>
      </c>
      <c r="P94" s="159">
        <f>IF(Input!P42=0,0,INT((Input!P42*8.33/100)+0.5))</f>
        <v>0</v>
      </c>
      <c r="Q94" s="159">
        <f>IF(Input!Q42=0,0,INT((Input!Q42*8.33/100)+0.5))</f>
        <v>0</v>
      </c>
      <c r="R94" s="159" t="str">
        <f>IF(#REF!=0,0,INT((#REF!*8.33/100)+0.5))</f>
        <v>#REF!</v>
      </c>
      <c r="S94" s="160" t="str">
        <f t="shared" ref="S94:S96" si="54">SUM(G94:R94)</f>
        <v>#REF!</v>
      </c>
      <c r="T94" s="153"/>
      <c r="U94" s="151"/>
      <c r="V94" s="83"/>
      <c r="W94" s="3"/>
      <c r="X94" s="3"/>
      <c r="Y94" s="3"/>
      <c r="Z94" s="3"/>
    </row>
    <row r="95" ht="15.75" customHeight="1">
      <c r="A95" s="120">
        <v>37622.0</v>
      </c>
      <c r="B95" s="139" t="str">
        <f>Input!P$30</f>
        <v/>
      </c>
      <c r="C95" s="3"/>
      <c r="D95" s="95"/>
      <c r="E95" s="161"/>
      <c r="F95" s="156" t="s">
        <v>212</v>
      </c>
      <c r="G95" s="159">
        <f>IF(Input!G42&lt;=$P$7,INT((Input!G42*8.33%)+0.5),INT(($P$7*8.33%)+0.5))</f>
        <v>0</v>
      </c>
      <c r="H95" s="159">
        <f>IF(Input!H42&lt;=$P$7,INT((Input!H42*8.33%)+0.5),INT(($P$7*8.33%)+0.5))</f>
        <v>0</v>
      </c>
      <c r="I95" s="159">
        <f>IF(Input!I42&lt;=$P$7,INT((Input!I42*8.33%)+0.5),INT(($P$7*8.33%)+0.5))</f>
        <v>0</v>
      </c>
      <c r="J95" s="159">
        <f>IF(Input!J42&lt;=$P$7,INT((Input!J42*8.33%)+0.5),INT(($P$7*8.33%)+0.5))</f>
        <v>0</v>
      </c>
      <c r="K95" s="159">
        <f>IF(Input!K42&lt;=$P$7,INT((Input!K42*8.33%)+0.5),INT(($P$7*8.33%)+0.5))</f>
        <v>0</v>
      </c>
      <c r="L95" s="159">
        <f>IF(Input!L42&lt;=$P$7,INT((Input!L42*8.33%)+0.5),INT(($P$7*8.33%)+0.5))</f>
        <v>0</v>
      </c>
      <c r="M95" s="159">
        <f>IF(Input!M42&lt;=$P$7,INT((Input!M42*8.33%)+0.5),INT(($P$7*8.33%)+0.5))</f>
        <v>0</v>
      </c>
      <c r="N95" s="159">
        <f>IF(Input!N42&lt;=$P$7,INT((Input!N42*8.33%)+0.5),INT(($P$7*8.33%)+0.5))</f>
        <v>0</v>
      </c>
      <c r="O95" s="159">
        <f>IF(Input!O42&lt;=$P$7,INT((Input!O42*8.33%)+0.5),INT(($P$7*8.33%)+0.5))</f>
        <v>0</v>
      </c>
      <c r="P95" s="159">
        <f>IF(Input!P42&lt;=$P$7,INT((Input!P42*8.33%)+0.5),INT(($P$7*8.33%)+0.5))</f>
        <v>0</v>
      </c>
      <c r="Q95" s="159">
        <f>IF(Input!Q42&lt;=$P$7,INT((Input!Q42*8.33%)+0.5),INT(($P$7*8.33%)+0.5))</f>
        <v>0</v>
      </c>
      <c r="R95" s="159" t="str">
        <f>IF(#REF!&lt;=$P$7,INT((#REF!*8.33%)+0.5),INT(($P$7*8.33%)+0.5))</f>
        <v>#REF!</v>
      </c>
      <c r="S95" s="160" t="str">
        <f t="shared" si="54"/>
        <v>#REF!</v>
      </c>
      <c r="T95" s="153"/>
      <c r="U95" s="151"/>
      <c r="V95" s="83"/>
      <c r="W95" s="3"/>
      <c r="X95" s="3"/>
      <c r="Y95" s="3"/>
      <c r="Z95" s="3"/>
    </row>
    <row r="96" ht="15.75" customHeight="1">
      <c r="A96" s="120">
        <v>37653.0</v>
      </c>
      <c r="B96" s="139" t="str">
        <f>Input!Q$30</f>
        <v/>
      </c>
      <c r="C96" s="3"/>
      <c r="D96" s="95"/>
      <c r="E96" s="161"/>
      <c r="F96" s="156" t="s">
        <v>213</v>
      </c>
      <c r="G96" s="160">
        <f t="shared" ref="G96:R96" si="55">IF(G94-G95&lt;=0,0,G94-G95)</f>
        <v>0</v>
      </c>
      <c r="H96" s="160">
        <f t="shared" si="55"/>
        <v>0</v>
      </c>
      <c r="I96" s="159">
        <f t="shared" si="55"/>
        <v>0</v>
      </c>
      <c r="J96" s="160">
        <f t="shared" si="55"/>
        <v>0</v>
      </c>
      <c r="K96" s="160">
        <f t="shared" si="55"/>
        <v>0</v>
      </c>
      <c r="L96" s="160">
        <f t="shared" si="55"/>
        <v>0</v>
      </c>
      <c r="M96" s="160">
        <f t="shared" si="55"/>
        <v>0</v>
      </c>
      <c r="N96" s="160">
        <f t="shared" si="55"/>
        <v>0</v>
      </c>
      <c r="O96" s="160">
        <f t="shared" si="55"/>
        <v>0</v>
      </c>
      <c r="P96" s="160">
        <f t="shared" si="55"/>
        <v>0</v>
      </c>
      <c r="Q96" s="160">
        <f t="shared" si="55"/>
        <v>0</v>
      </c>
      <c r="R96" s="160" t="str">
        <f t="shared" si="55"/>
        <v>#REF!</v>
      </c>
      <c r="S96" s="160" t="str">
        <f t="shared" si="54"/>
        <v>#REF!</v>
      </c>
      <c r="T96" s="153"/>
      <c r="U96" s="151"/>
      <c r="V96" s="83"/>
      <c r="W96" s="3"/>
      <c r="X96" s="3"/>
      <c r="Y96" s="3"/>
      <c r="Z96" s="3"/>
    </row>
    <row r="97" ht="15.75" customHeight="1">
      <c r="A97" s="120">
        <v>37681.0</v>
      </c>
      <c r="B97" s="139" t="str">
        <f>Input!R$30</f>
        <v/>
      </c>
      <c r="C97" s="3"/>
      <c r="D97" s="95"/>
      <c r="E97" s="161" t="s">
        <v>214</v>
      </c>
      <c r="F97" s="156" t="s">
        <v>215</v>
      </c>
      <c r="G97" s="160">
        <f>IF(G93=0,0,IF($T$11&lt;=Input!G41,0,R90+R91+U91))</f>
        <v>0</v>
      </c>
      <c r="H97" s="160">
        <f>IF(H93=0,0,IF($T$11&lt;=Input!H41,0,G96+G97))</f>
        <v>0</v>
      </c>
      <c r="I97" s="159">
        <f>IF(I93=0,0,IF($T$11&lt;=Input!I41,0,H96+H97))</f>
        <v>0</v>
      </c>
      <c r="J97" s="160">
        <f>IF(J93=0,0,IF($T$11&lt;=Input!J41,0,I96+I97))</f>
        <v>0</v>
      </c>
      <c r="K97" s="160">
        <f>IF(K93=0,0,IF($T$11&lt;=Input!K41,0,J96+J97))</f>
        <v>0</v>
      </c>
      <c r="L97" s="160">
        <f>IF(L93=0,0,IF($T$11&lt;=Input!L41,0,K96+K97))</f>
        <v>0</v>
      </c>
      <c r="M97" s="160">
        <f>IF(M93=0,0,IF($T$11&lt;=Input!M41,0,L96+L97))</f>
        <v>0</v>
      </c>
      <c r="N97" s="160">
        <f>IF(N93=0,0,IF($T$11&lt;=Input!N41,0,M96+M97))</f>
        <v>0</v>
      </c>
      <c r="O97" s="160">
        <f>IF(O93=0,0,IF($T$11&lt;=Input!O41,0,N96+N97))</f>
        <v>0</v>
      </c>
      <c r="P97" s="160">
        <f>IF(P93=0,0,IF($T$11&lt;=Input!P41,0,O96+O97))</f>
        <v>0</v>
      </c>
      <c r="Q97" s="160">
        <f>IF(Q93=0,0,IF($T$11&lt;=Input!Q41,0,P96+P97))</f>
        <v>0</v>
      </c>
      <c r="R97" s="160">
        <f>IF(R93=0,0,IF($T$11&lt;=Input!R41,0,Q96+Q97))</f>
        <v>0</v>
      </c>
      <c r="S97" s="160"/>
      <c r="T97" s="162" t="str">
        <f>SUM(G96:R96)</f>
        <v>#REF!</v>
      </c>
      <c r="U97" s="160">
        <f>SUM(G98:R98)</f>
        <v>0</v>
      </c>
      <c r="V97" s="163" t="str">
        <f>SUM(T97,U97)</f>
        <v>#REF!</v>
      </c>
      <c r="W97" s="3"/>
      <c r="X97" s="3"/>
      <c r="Y97" s="3"/>
      <c r="Z97" s="3"/>
    </row>
    <row r="98" ht="15.75" customHeight="1">
      <c r="A98" s="120">
        <v>37712.0</v>
      </c>
      <c r="B98" s="139" t="str">
        <f>Input!G$32</f>
        <v/>
      </c>
      <c r="C98" s="3"/>
      <c r="D98" s="95"/>
      <c r="E98" s="164">
        <v>0.085</v>
      </c>
      <c r="F98" s="165" t="s">
        <v>216</v>
      </c>
      <c r="G98" s="97">
        <f t="shared" ref="G98:R98" si="56">G97/12*$E98</f>
        <v>0</v>
      </c>
      <c r="H98" s="160">
        <f t="shared" si="56"/>
        <v>0</v>
      </c>
      <c r="I98" s="159">
        <f t="shared" si="56"/>
        <v>0</v>
      </c>
      <c r="J98" s="160">
        <f t="shared" si="56"/>
        <v>0</v>
      </c>
      <c r="K98" s="160">
        <f t="shared" si="56"/>
        <v>0</v>
      </c>
      <c r="L98" s="160">
        <f t="shared" si="56"/>
        <v>0</v>
      </c>
      <c r="M98" s="160">
        <f t="shared" si="56"/>
        <v>0</v>
      </c>
      <c r="N98" s="160">
        <f t="shared" si="56"/>
        <v>0</v>
      </c>
      <c r="O98" s="160">
        <f t="shared" si="56"/>
        <v>0</v>
      </c>
      <c r="P98" s="160">
        <f t="shared" si="56"/>
        <v>0</v>
      </c>
      <c r="Q98" s="160">
        <f t="shared" si="56"/>
        <v>0</v>
      </c>
      <c r="R98" s="160">
        <f t="shared" si="56"/>
        <v>0</v>
      </c>
      <c r="S98" s="160">
        <f>SUM(G98:R98)</f>
        <v>0</v>
      </c>
      <c r="T98" s="168" t="str">
        <f t="shared" ref="T98:V98" si="57">SUM(T19,T25,T31,T37,T43,T49,T55,T61,T67,T73,T79,T85,T91,T97)</f>
        <v>#REF!</v>
      </c>
      <c r="U98" s="169">
        <f t="shared" si="57"/>
        <v>0</v>
      </c>
      <c r="V98" s="170" t="str">
        <f t="shared" si="57"/>
        <v>#REF!</v>
      </c>
      <c r="W98" s="3"/>
      <c r="X98" s="3"/>
      <c r="Y98" s="3"/>
      <c r="Z98" s="3"/>
    </row>
    <row r="99" ht="15.75" customHeight="1">
      <c r="A99" s="120">
        <v>37742.0</v>
      </c>
      <c r="B99" s="139" t="str">
        <f>Input!H$32</f>
        <v/>
      </c>
      <c r="C99" s="3"/>
      <c r="D99" s="95">
        <v>15.0</v>
      </c>
      <c r="E99" s="161" t="s">
        <v>35</v>
      </c>
      <c r="F99" s="155" t="s">
        <v>210</v>
      </c>
      <c r="G99" s="171">
        <v>39904.0</v>
      </c>
      <c r="H99" s="171">
        <v>39934.0</v>
      </c>
      <c r="I99" s="171">
        <v>39965.0</v>
      </c>
      <c r="J99" s="171">
        <v>39995.0</v>
      </c>
      <c r="K99" s="171">
        <v>40026.0</v>
      </c>
      <c r="L99" s="171">
        <v>40057.0</v>
      </c>
      <c r="M99" s="171">
        <v>40087.0</v>
      </c>
      <c r="N99" s="171">
        <v>40118.0</v>
      </c>
      <c r="O99" s="171">
        <v>40148.0</v>
      </c>
      <c r="P99" s="171">
        <v>40179.0</v>
      </c>
      <c r="Q99" s="171">
        <v>40210.0</v>
      </c>
      <c r="R99" s="171">
        <v>40238.0</v>
      </c>
      <c r="S99" s="97">
        <f>SUM(Input!G44:R44)</f>
        <v>369267</v>
      </c>
      <c r="T99" s="153"/>
      <c r="U99" s="151"/>
      <c r="V99" s="83"/>
      <c r="W99" s="3"/>
      <c r="X99" s="3"/>
      <c r="Y99" s="3"/>
      <c r="Z99" s="3"/>
    </row>
    <row r="100" ht="15.75" customHeight="1">
      <c r="A100" s="120">
        <v>37773.0</v>
      </c>
      <c r="B100" s="139" t="str">
        <f>Input!I$32</f>
        <v/>
      </c>
      <c r="C100" s="3"/>
      <c r="D100" s="95"/>
      <c r="E100" s="161"/>
      <c r="F100" s="156" t="s">
        <v>211</v>
      </c>
      <c r="G100" s="159">
        <f>IF(Input!R42=0,0,INT((Input!R42*8.33/100)+0.5))</f>
        <v>14509</v>
      </c>
      <c r="H100" s="159">
        <f>IF(Input!G44=0,0,INT((Input!G44*8.33/100)+0.5))</f>
        <v>2413</v>
      </c>
      <c r="I100" s="159">
        <f>IF(Input!H44=0,0,INT((Input!H44*8.33/100)+0.5))</f>
        <v>2413</v>
      </c>
      <c r="J100" s="159">
        <f>IF(Input!I44=0,0,INT((Input!I44*8.33/100)+0.5))</f>
        <v>2650</v>
      </c>
      <c r="K100" s="159">
        <f>IF(Input!J44=0,0,INT((Input!J44*8.33/100)+0.5))</f>
        <v>2486</v>
      </c>
      <c r="L100" s="159">
        <f>IF(Input!K44=0,0,INT((Input!K44*8.33/100)+0.5))</f>
        <v>2486</v>
      </c>
      <c r="M100" s="159">
        <f>IF(Input!L44=0,0,INT((Input!L44*8.33/100)+0.5))</f>
        <v>2486</v>
      </c>
      <c r="N100" s="159">
        <f>IF(Input!M44=0,0,INT((Input!M44*8.33/100)+0.5))</f>
        <v>2588</v>
      </c>
      <c r="O100" s="159">
        <f>IF(Input!N44=0,0,INT((Input!N44*8.33/100)+0.5))</f>
        <v>2588</v>
      </c>
      <c r="P100" s="159">
        <f>IF(Input!O44=0,0,INT((Input!O44*8.33/100)+0.5))</f>
        <v>2892</v>
      </c>
      <c r="Q100" s="159">
        <f>IF(Input!P44=0,0,INT((Input!P44*8.33/100)+0.5))</f>
        <v>2587</v>
      </c>
      <c r="R100" s="159" t="str">
        <f>IF(#REF!=0,0,INT((#REF!*8.33/100)+0.5))</f>
        <v>#REF!</v>
      </c>
      <c r="S100" s="160" t="str">
        <f t="shared" ref="S100:S102" si="58">SUM(G100:R100)</f>
        <v>#REF!</v>
      </c>
      <c r="T100" s="153"/>
      <c r="U100" s="151"/>
      <c r="V100" s="83"/>
      <c r="W100" s="3"/>
      <c r="X100" s="3"/>
      <c r="Y100" s="3"/>
      <c r="Z100" s="3"/>
    </row>
    <row r="101" ht="15.75" customHeight="1">
      <c r="A101" s="120">
        <v>37803.0</v>
      </c>
      <c r="B101" s="139" t="str">
        <f>Input!J$32</f>
        <v/>
      </c>
      <c r="C101" s="3"/>
      <c r="D101" s="95"/>
      <c r="E101" s="161"/>
      <c r="F101" s="156" t="s">
        <v>212</v>
      </c>
      <c r="G101" s="159">
        <f>IF(Input!R42&lt;=$P$7,INT((Input!R42*8.33%)+0.5),INT(($P$7*8.33%)+0.5))</f>
        <v>541</v>
      </c>
      <c r="H101" s="159">
        <f>IF(Input!G44&lt;=$P$7,INT((Input!G44*8.33%)+0.5),INT(($P$7*8.33%)+0.5))</f>
        <v>541</v>
      </c>
      <c r="I101" s="159">
        <f>IF(Input!H44&lt;=$P$7,INT((Input!H44*8.33%)+0.5),INT(($P$7*8.33%)+0.5))</f>
        <v>541</v>
      </c>
      <c r="J101" s="159">
        <f>IF(Input!I44&lt;=$P$7,INT((Input!I44*8.33%)+0.5),INT(($P$7*8.33%)+0.5))</f>
        <v>541</v>
      </c>
      <c r="K101" s="159">
        <f>IF(Input!J44&lt;=$P$7,INT((Input!J44*8.33%)+0.5),INT(($P$7*8.33%)+0.5))</f>
        <v>541</v>
      </c>
      <c r="L101" s="159">
        <f>IF(Input!K44&lt;=$P$7,INT((Input!K44*8.33%)+0.5),INT(($P$7*8.33%)+0.5))</f>
        <v>541</v>
      </c>
      <c r="M101" s="159">
        <f>IF(Input!L44&lt;=$P$7,INT((Input!L44*8.33%)+0.5),INT(($P$7*8.33%)+0.5))</f>
        <v>541</v>
      </c>
      <c r="N101" s="159">
        <f>IF(Input!M44&lt;=$P$7,INT((Input!M44*8.33%)+0.5),INT(($P$7*8.33%)+0.5))</f>
        <v>541</v>
      </c>
      <c r="O101" s="159">
        <f>IF(Input!N44&lt;=$P$7,INT((Input!N44*8.33%)+0.5),INT(($P$7*8.33%)+0.5))</f>
        <v>541</v>
      </c>
      <c r="P101" s="159">
        <f>IF(Input!O44&lt;=$P$7,INT((Input!O44*8.33%)+0.5),INT(($P$7*8.33%)+0.5))</f>
        <v>541</v>
      </c>
      <c r="Q101" s="159">
        <f>IF(Input!P44&lt;=$P$7,INT((Input!P44*8.33%)+0.5),INT(($P$7*8.33%)+0.5))</f>
        <v>541</v>
      </c>
      <c r="R101" s="159" t="str">
        <f>IF(#REF!&lt;=$P$7,INT((#REF!*8.33%)+0.5),INT(($P$7*8.33%)+0.5))</f>
        <v>#REF!</v>
      </c>
      <c r="S101" s="160" t="str">
        <f t="shared" si="58"/>
        <v>#REF!</v>
      </c>
      <c r="T101" s="153"/>
      <c r="U101" s="151"/>
      <c r="V101" s="83"/>
      <c r="W101" s="3"/>
      <c r="X101" s="3"/>
      <c r="Y101" s="3"/>
      <c r="Z101" s="3"/>
    </row>
    <row r="102" ht="15.75" customHeight="1">
      <c r="A102" s="120">
        <v>37834.0</v>
      </c>
      <c r="B102" s="139" t="str">
        <f>Input!K$32</f>
        <v/>
      </c>
      <c r="C102" s="3"/>
      <c r="D102" s="95"/>
      <c r="E102" s="161"/>
      <c r="F102" s="156" t="s">
        <v>213</v>
      </c>
      <c r="G102" s="160">
        <f t="shared" ref="G102:R102" si="59">IF(G100-G101&lt;=0,0,G100-G101)</f>
        <v>13968</v>
      </c>
      <c r="H102" s="160">
        <f t="shared" si="59"/>
        <v>1872</v>
      </c>
      <c r="I102" s="160">
        <f t="shared" si="59"/>
        <v>1872</v>
      </c>
      <c r="J102" s="160">
        <f t="shared" si="59"/>
        <v>2109</v>
      </c>
      <c r="K102" s="160">
        <f t="shared" si="59"/>
        <v>1945</v>
      </c>
      <c r="L102" s="160">
        <f t="shared" si="59"/>
        <v>1945</v>
      </c>
      <c r="M102" s="160">
        <f t="shared" si="59"/>
        <v>1945</v>
      </c>
      <c r="N102" s="160">
        <f t="shared" si="59"/>
        <v>2047</v>
      </c>
      <c r="O102" s="160">
        <f t="shared" si="59"/>
        <v>2047</v>
      </c>
      <c r="P102" s="160">
        <f t="shared" si="59"/>
        <v>2351</v>
      </c>
      <c r="Q102" s="160">
        <f t="shared" si="59"/>
        <v>2046</v>
      </c>
      <c r="R102" s="160" t="str">
        <f t="shared" si="59"/>
        <v>#REF!</v>
      </c>
      <c r="S102" s="160" t="str">
        <f t="shared" si="58"/>
        <v>#REF!</v>
      </c>
      <c r="T102" s="153"/>
      <c r="U102" s="151"/>
      <c r="V102" s="83"/>
      <c r="W102" s="3"/>
      <c r="X102" s="3"/>
      <c r="Y102" s="3"/>
      <c r="Z102" s="3"/>
    </row>
    <row r="103" ht="15.75" customHeight="1">
      <c r="A103" s="120">
        <v>37865.0</v>
      </c>
      <c r="B103" s="139" t="str">
        <f>Input!L$32</f>
        <v/>
      </c>
      <c r="C103" s="3"/>
      <c r="D103" s="95"/>
      <c r="E103" s="161" t="s">
        <v>214</v>
      </c>
      <c r="F103" s="156" t="s">
        <v>215</v>
      </c>
      <c r="G103" s="160" t="str">
        <f>IF(G99=0,0,IF($T$11&lt;=Input!G43,0,R96+R97+U97))</f>
        <v>#REF!</v>
      </c>
      <c r="H103" s="160" t="str">
        <f>IF(H99=0,0,IF($T$11&lt;=Input!H43,0,G102+G103))</f>
        <v>#REF!</v>
      </c>
      <c r="I103" s="160" t="str">
        <f>IF(I99=0,0,IF($T$11&lt;=Input!I43,0,H102+H103))</f>
        <v>#REF!</v>
      </c>
      <c r="J103" s="160" t="str">
        <f>IF(J99=0,0,IF($T$11&lt;=Input!J43,0,I102+I103))</f>
        <v>#REF!</v>
      </c>
      <c r="K103" s="160" t="str">
        <f>IF(K99=0,0,IF($T$11&lt;=Input!K43,0,J102+J103))</f>
        <v>#REF!</v>
      </c>
      <c r="L103" s="160" t="str">
        <f>IF(L99=0,0,IF($T$11&lt;=Input!L43,0,K102+K103))</f>
        <v>#REF!</v>
      </c>
      <c r="M103" s="160" t="str">
        <f>IF(M99=0,0,IF($T$11&lt;=Input!M43,0,L102+L103))</f>
        <v>#REF!</v>
      </c>
      <c r="N103" s="160" t="str">
        <f>IF(N99=0,0,IF($T$11&lt;=Input!N43,0,M102+M103))</f>
        <v>#REF!</v>
      </c>
      <c r="O103" s="160" t="str">
        <f>IF(O99=0,0,IF($T$11&lt;=Input!O43,0,N102+N103))</f>
        <v>#REF!</v>
      </c>
      <c r="P103" s="160" t="str">
        <f>IF(P99=0,0,IF($T$11&lt;=Input!P43,0,O102+O103))</f>
        <v>#REF!</v>
      </c>
      <c r="Q103" s="160" t="str">
        <f>IF(Q99=0,0,IF($T$11&lt;=Input!Q43,0,P102+P103))</f>
        <v>#REF!</v>
      </c>
      <c r="R103" s="160" t="str">
        <f>IF(R99=0,0,IF($T$11&lt;=Input!R43,0,Q102+Q103))</f>
        <v>#REF!</v>
      </c>
      <c r="S103" s="160"/>
      <c r="T103" s="162" t="str">
        <f>SUM(G102:R102)</f>
        <v>#REF!</v>
      </c>
      <c r="U103" s="160" t="str">
        <f>SUM(G104:R104)</f>
        <v>#REF!</v>
      </c>
      <c r="V103" s="163" t="str">
        <f>SUM(T103,U103)</f>
        <v>#REF!</v>
      </c>
      <c r="W103" s="3"/>
      <c r="X103" s="3"/>
      <c r="Y103" s="3"/>
      <c r="Z103" s="3"/>
    </row>
    <row r="104" ht="15.75" customHeight="1">
      <c r="A104" s="120">
        <v>37895.0</v>
      </c>
      <c r="B104" s="139" t="str">
        <f>Input!M$32</f>
        <v/>
      </c>
      <c r="C104" s="3"/>
      <c r="D104" s="95"/>
      <c r="E104" s="164">
        <v>0.085</v>
      </c>
      <c r="F104" s="165" t="s">
        <v>216</v>
      </c>
      <c r="G104" s="97" t="str">
        <f t="shared" ref="G104:R104" si="60">G103/12*$E104</f>
        <v>#REF!</v>
      </c>
      <c r="H104" s="160" t="str">
        <f t="shared" si="60"/>
        <v>#REF!</v>
      </c>
      <c r="I104" s="160" t="str">
        <f t="shared" si="60"/>
        <v>#REF!</v>
      </c>
      <c r="J104" s="160" t="str">
        <f t="shared" si="60"/>
        <v>#REF!</v>
      </c>
      <c r="K104" s="160" t="str">
        <f t="shared" si="60"/>
        <v>#REF!</v>
      </c>
      <c r="L104" s="160" t="str">
        <f t="shared" si="60"/>
        <v>#REF!</v>
      </c>
      <c r="M104" s="160" t="str">
        <f t="shared" si="60"/>
        <v>#REF!</v>
      </c>
      <c r="N104" s="160" t="str">
        <f t="shared" si="60"/>
        <v>#REF!</v>
      </c>
      <c r="O104" s="160" t="str">
        <f t="shared" si="60"/>
        <v>#REF!</v>
      </c>
      <c r="P104" s="160" t="str">
        <f t="shared" si="60"/>
        <v>#REF!</v>
      </c>
      <c r="Q104" s="160" t="str">
        <f t="shared" si="60"/>
        <v>#REF!</v>
      </c>
      <c r="R104" s="160" t="str">
        <f t="shared" si="60"/>
        <v>#REF!</v>
      </c>
      <c r="S104" s="160" t="str">
        <f>SUM(G104:R104)</f>
        <v>#REF!</v>
      </c>
      <c r="T104" s="168" t="str">
        <f t="shared" ref="T104:V104" si="61">SUM(T19,T25,T31,T37,T43,T49,T55,T61,T67,T73,T79,T85,T91,T97,T103)</f>
        <v>#REF!</v>
      </c>
      <c r="U104" s="169" t="str">
        <f t="shared" si="61"/>
        <v>#REF!</v>
      </c>
      <c r="V104" s="170" t="str">
        <f t="shared" si="61"/>
        <v>#REF!</v>
      </c>
      <c r="W104" s="3"/>
      <c r="X104" s="3"/>
      <c r="Y104" s="3"/>
      <c r="Z104" s="3"/>
    </row>
    <row r="105" ht="15.75" customHeight="1">
      <c r="A105" s="120">
        <v>37926.0</v>
      </c>
      <c r="B105" s="139" t="str">
        <f>Input!N$32</f>
        <v/>
      </c>
      <c r="C105" s="3"/>
      <c r="D105" s="95">
        <v>16.0</v>
      </c>
      <c r="E105" s="161" t="s">
        <v>36</v>
      </c>
      <c r="F105" s="155" t="s">
        <v>210</v>
      </c>
      <c r="G105" s="171">
        <v>40269.0</v>
      </c>
      <c r="H105" s="171">
        <v>40299.0</v>
      </c>
      <c r="I105" s="171">
        <v>40330.0</v>
      </c>
      <c r="J105" s="171">
        <v>40360.0</v>
      </c>
      <c r="K105" s="171">
        <v>40391.0</v>
      </c>
      <c r="L105" s="171">
        <v>40422.0</v>
      </c>
      <c r="M105" s="171">
        <v>40452.0</v>
      </c>
      <c r="N105" s="171">
        <v>40483.0</v>
      </c>
      <c r="O105" s="171">
        <v>40513.0</v>
      </c>
      <c r="P105" s="171">
        <v>40544.0</v>
      </c>
      <c r="Q105" s="171">
        <v>40575.0</v>
      </c>
      <c r="R105" s="171">
        <v>40603.0</v>
      </c>
      <c r="S105" s="97">
        <f>SUM(Input!G46:R46)</f>
        <v>449432</v>
      </c>
      <c r="T105" s="153"/>
      <c r="U105" s="151"/>
      <c r="V105" s="83"/>
      <c r="W105" s="3"/>
      <c r="X105" s="3"/>
      <c r="Y105" s="3"/>
      <c r="Z105" s="3"/>
    </row>
    <row r="106" ht="15.75" customHeight="1">
      <c r="A106" s="120">
        <v>37956.0</v>
      </c>
      <c r="B106" s="139" t="str">
        <f>Input!O$32</f>
        <v/>
      </c>
      <c r="C106" s="3"/>
      <c r="D106" s="95"/>
      <c r="E106" s="161"/>
      <c r="F106" s="156" t="s">
        <v>211</v>
      </c>
      <c r="G106" s="159">
        <f>IF(Input!R44=0,0,INT((Input!R44*8.33/100)+0.5))</f>
        <v>2587</v>
      </c>
      <c r="H106" s="159">
        <f>IF(Input!G46=0,0,INT((Input!G46*8.33/100)+0.5))</f>
        <v>3238</v>
      </c>
      <c r="I106" s="159">
        <f>IF(Input!H46=0,0,INT((Input!H46*8.33/100)+0.5))</f>
        <v>2750</v>
      </c>
      <c r="J106" s="159">
        <f>IF(Input!I46=0,0,INT((Input!I46*8.33/100)+0.5))</f>
        <v>2750</v>
      </c>
      <c r="K106" s="159">
        <f>IF(Input!J46=0,0,INT((Input!J46*8.33/100)+0.5))</f>
        <v>2750</v>
      </c>
      <c r="L106" s="159">
        <f>IF(Input!K46=0,0,INT((Input!K46*8.33/100)+0.5))</f>
        <v>2750</v>
      </c>
      <c r="M106" s="159">
        <f>IF(Input!L46=0,0,INT((Input!L46*8.33/100)+0.5))</f>
        <v>2980</v>
      </c>
      <c r="N106" s="159">
        <f>IF(Input!M46=0,0,INT((Input!M46*8.33/100)+0.5))</f>
        <v>3456</v>
      </c>
      <c r="O106" s="159">
        <f>IF(Input!N46=0,0,INT((Input!N46*8.33/100)+0.5))</f>
        <v>3049</v>
      </c>
      <c r="P106" s="159">
        <f>IF(Input!P46=0,0,INT((Input!P46*8.33/100)+0.5))</f>
        <v>3049</v>
      </c>
      <c r="Q106" s="159">
        <f>IF(Input!Q46=0,0,INT((Input!Q46*8.33/100)+0.5))</f>
        <v>3049</v>
      </c>
      <c r="R106" s="159">
        <f>IF(Input!R46=0,0,INT((Input!R46*8.33/100)+0.5))</f>
        <v>4571</v>
      </c>
      <c r="S106" s="160">
        <f t="shared" ref="S106:S108" si="62">SUM(G106:R106)</f>
        <v>36979</v>
      </c>
      <c r="T106" s="153"/>
      <c r="U106" s="151"/>
      <c r="V106" s="83"/>
      <c r="W106" s="3"/>
      <c r="X106" s="3"/>
      <c r="Y106" s="3"/>
      <c r="Z106" s="3"/>
    </row>
    <row r="107" ht="15.75" customHeight="1">
      <c r="A107" s="120">
        <v>37987.0</v>
      </c>
      <c r="B107" s="139" t="str">
        <f>Input!P$32</f>
        <v/>
      </c>
      <c r="C107" s="3"/>
      <c r="D107" s="95"/>
      <c r="E107" s="161"/>
      <c r="F107" s="156" t="s">
        <v>212</v>
      </c>
      <c r="G107" s="159">
        <f>IF(Input!R44&lt;=$P$7,INT((Input!R44*8.33%)+0.5),INT(($P$7*8.33%)+0.5))</f>
        <v>541</v>
      </c>
      <c r="H107" s="159">
        <f>IF(Input!G46&lt;=$P$7,INT((Input!G46*8.33%)+0.5),INT(($P$7*8.33%)+0.5))</f>
        <v>541</v>
      </c>
      <c r="I107" s="159">
        <f>IF(Input!H46&lt;=$P$7,INT((Input!H46*8.33%)+0.5),INT(($P$7*8.33%)+0.5))</f>
        <v>541</v>
      </c>
      <c r="J107" s="159">
        <f>IF(Input!I46&lt;=$P$7,INT((Input!I46*8.33%)+0.5),INT(($P$7*8.33%)+0.5))</f>
        <v>541</v>
      </c>
      <c r="K107" s="159">
        <f>IF(Input!J46&lt;=$P$7,INT((Input!J46*8.33%)+0.5),INT(($P$7*8.33%)+0.5))</f>
        <v>541</v>
      </c>
      <c r="L107" s="159">
        <f>IF(Input!K46&lt;=$P$7,INT((Input!K46*8.33%)+0.5),INT(($P$7*8.33%)+0.5))</f>
        <v>541</v>
      </c>
      <c r="M107" s="159">
        <f>IF(Input!L46&lt;=$P$7,INT((Input!L46*8.33%)+0.5),INT(($P$7*8.33%)+0.5))</f>
        <v>541</v>
      </c>
      <c r="N107" s="159">
        <f>IF(Input!M46&lt;=$P$7,INT((Input!M46*8.33%)+0.5),INT(($P$7*8.33%)+0.5))</f>
        <v>541</v>
      </c>
      <c r="O107" s="159">
        <f>IF(Input!N46&lt;=$P$7,INT((Input!N46*8.33%)+0.5),INT(($P$7*8.33%)+0.5))</f>
        <v>541</v>
      </c>
      <c r="P107" s="159">
        <f>IF(Input!P46&lt;=$P$7,INT((Input!P46*8.33%)+0.5),INT(($P$7*8.33%)+0.5))</f>
        <v>541</v>
      </c>
      <c r="Q107" s="159">
        <f>IF(Input!Q46&lt;=$P$7,INT((Input!Q46*8.33%)+0.5),INT(($P$7*8.33%)+0.5))</f>
        <v>541</v>
      </c>
      <c r="R107" s="159">
        <f>IF(Input!R46&lt;=$P$7,INT((Input!R46*8.33%)+0.5),INT(($P$7*8.33%)+0.5))</f>
        <v>541</v>
      </c>
      <c r="S107" s="160">
        <f t="shared" si="62"/>
        <v>6492</v>
      </c>
      <c r="T107" s="153"/>
      <c r="U107" s="151"/>
      <c r="V107" s="83"/>
      <c r="W107" s="3"/>
      <c r="X107" s="3"/>
      <c r="Y107" s="3"/>
      <c r="Z107" s="3"/>
    </row>
    <row r="108" ht="15.75" customHeight="1">
      <c r="A108" s="120">
        <v>38018.0</v>
      </c>
      <c r="B108" s="139" t="str">
        <f>Input!Q$32</f>
        <v/>
      </c>
      <c r="C108" s="3"/>
      <c r="D108" s="95"/>
      <c r="E108" s="161"/>
      <c r="F108" s="156" t="s">
        <v>213</v>
      </c>
      <c r="G108" s="160">
        <f t="shared" ref="G108:R108" si="63">IF(G106-G107&lt;=0,0,G106-G107)</f>
        <v>2046</v>
      </c>
      <c r="H108" s="160">
        <f t="shared" si="63"/>
        <v>2697</v>
      </c>
      <c r="I108" s="160">
        <f t="shared" si="63"/>
        <v>2209</v>
      </c>
      <c r="J108" s="160">
        <f t="shared" si="63"/>
        <v>2209</v>
      </c>
      <c r="K108" s="160">
        <f t="shared" si="63"/>
        <v>2209</v>
      </c>
      <c r="L108" s="160">
        <f t="shared" si="63"/>
        <v>2209</v>
      </c>
      <c r="M108" s="160">
        <f t="shared" si="63"/>
        <v>2439</v>
      </c>
      <c r="N108" s="160">
        <f t="shared" si="63"/>
        <v>2915</v>
      </c>
      <c r="O108" s="160">
        <f t="shared" si="63"/>
        <v>2508</v>
      </c>
      <c r="P108" s="160">
        <f t="shared" si="63"/>
        <v>2508</v>
      </c>
      <c r="Q108" s="160">
        <f t="shared" si="63"/>
        <v>2508</v>
      </c>
      <c r="R108" s="160">
        <f t="shared" si="63"/>
        <v>4030</v>
      </c>
      <c r="S108" s="160">
        <f t="shared" si="62"/>
        <v>30487</v>
      </c>
      <c r="T108" s="153"/>
      <c r="U108" s="151"/>
      <c r="V108" s="83"/>
      <c r="W108" s="3"/>
      <c r="X108" s="3"/>
      <c r="Y108" s="3"/>
      <c r="Z108" s="3"/>
    </row>
    <row r="109" ht="15.75" customHeight="1">
      <c r="A109" s="120">
        <v>38047.0</v>
      </c>
      <c r="B109" s="139" t="str">
        <f>Input!R$32</f>
        <v/>
      </c>
      <c r="C109" s="3"/>
      <c r="D109" s="95"/>
      <c r="E109" s="161" t="s">
        <v>214</v>
      </c>
      <c r="F109" s="156" t="s">
        <v>215</v>
      </c>
      <c r="G109" s="160" t="str">
        <f>IF(G105=0,0,IF($T$11&lt;=Input!G45,0,R102+R103+U103))</f>
        <v>#REF!</v>
      </c>
      <c r="H109" s="160" t="str">
        <f>IF(H105=0,0,IF($T$11&lt;=Input!H45,0,G108+G109))</f>
        <v>#REF!</v>
      </c>
      <c r="I109" s="160" t="str">
        <f>IF(I105=0,0,IF($T$11&lt;=Input!I45,0,H108+H109))</f>
        <v>#REF!</v>
      </c>
      <c r="J109" s="160" t="str">
        <f>IF(J105=0,0,IF($T$11&lt;=Input!J45,0,I108+I109))</f>
        <v>#REF!</v>
      </c>
      <c r="K109" s="160" t="str">
        <f>IF(K105=0,0,IF($T$11&lt;=Input!K45,0,J108+J109))</f>
        <v>#REF!</v>
      </c>
      <c r="L109" s="160" t="str">
        <f>IF(L105=0,0,IF($T$11&lt;=Input!L45,0,K108+K109))</f>
        <v>#REF!</v>
      </c>
      <c r="M109" s="160" t="str">
        <f>IF(M105=0,0,IF($T$11&lt;=Input!M45,0,L108+L109))</f>
        <v>#REF!</v>
      </c>
      <c r="N109" s="160" t="str">
        <f>IF(N105=0,0,IF($T$11&lt;=Input!N45,0,M108+M109))</f>
        <v>#REF!</v>
      </c>
      <c r="O109" s="160" t="str">
        <f>IF(O105=0,0,IF($T$11&lt;=Input!O45,0,N108+N109))</f>
        <v>#REF!</v>
      </c>
      <c r="P109" s="160" t="str">
        <f>IF(P105=0,0,IF($T$11&lt;=Input!P45,0,O108+O109))</f>
        <v>#REF!</v>
      </c>
      <c r="Q109" s="160" t="str">
        <f>IF(Q105=0,0,IF($T$11&lt;=Input!Q45,0,P108+P109))</f>
        <v>#REF!</v>
      </c>
      <c r="R109" s="160" t="str">
        <f>IF(R105=0,0,IF($T$11&lt;=Input!R45,0,Q108+Q109))</f>
        <v>#REF!</v>
      </c>
      <c r="S109" s="160"/>
      <c r="T109" s="162">
        <f>SUM(G108:R108)</f>
        <v>30487</v>
      </c>
      <c r="U109" s="160" t="str">
        <f>SUM(G110:R110)</f>
        <v>#REF!</v>
      </c>
      <c r="V109" s="163" t="str">
        <f>SUM(T109,U109)</f>
        <v>#REF!</v>
      </c>
      <c r="W109" s="3"/>
      <c r="X109" s="3"/>
      <c r="Y109" s="3"/>
      <c r="Z109" s="3"/>
    </row>
    <row r="110" ht="15.75" customHeight="1">
      <c r="A110" s="120">
        <v>38078.0</v>
      </c>
      <c r="B110" s="139" t="str">
        <f>Input!G$34</f>
        <v/>
      </c>
      <c r="C110" s="3"/>
      <c r="D110" s="95"/>
      <c r="E110" s="164">
        <v>0.095</v>
      </c>
      <c r="F110" s="165" t="s">
        <v>216</v>
      </c>
      <c r="G110" s="97" t="str">
        <f t="shared" ref="G110:R110" si="64">G109/12*$E110</f>
        <v>#REF!</v>
      </c>
      <c r="H110" s="160" t="str">
        <f t="shared" si="64"/>
        <v>#REF!</v>
      </c>
      <c r="I110" s="160" t="str">
        <f t="shared" si="64"/>
        <v>#REF!</v>
      </c>
      <c r="J110" s="160" t="str">
        <f t="shared" si="64"/>
        <v>#REF!</v>
      </c>
      <c r="K110" s="160" t="str">
        <f t="shared" si="64"/>
        <v>#REF!</v>
      </c>
      <c r="L110" s="160" t="str">
        <f t="shared" si="64"/>
        <v>#REF!</v>
      </c>
      <c r="M110" s="160" t="str">
        <f t="shared" si="64"/>
        <v>#REF!</v>
      </c>
      <c r="N110" s="160" t="str">
        <f t="shared" si="64"/>
        <v>#REF!</v>
      </c>
      <c r="O110" s="160" t="str">
        <f t="shared" si="64"/>
        <v>#REF!</v>
      </c>
      <c r="P110" s="160" t="str">
        <f t="shared" si="64"/>
        <v>#REF!</v>
      </c>
      <c r="Q110" s="160" t="str">
        <f t="shared" si="64"/>
        <v>#REF!</v>
      </c>
      <c r="R110" s="160" t="str">
        <f t="shared" si="64"/>
        <v>#REF!</v>
      </c>
      <c r="S110" s="160" t="str">
        <f>SUM(G110:R110)</f>
        <v>#REF!</v>
      </c>
      <c r="T110" s="168" t="str">
        <f t="shared" ref="T110:V110" si="65">SUM(T19,T25,T31,T37,T43,T49,T55,T61,T67,T73,T79,T85,T91,T97,T103,T109)</f>
        <v>#REF!</v>
      </c>
      <c r="U110" s="169" t="str">
        <f t="shared" si="65"/>
        <v>#REF!</v>
      </c>
      <c r="V110" s="170" t="str">
        <f t="shared" si="65"/>
        <v>#REF!</v>
      </c>
      <c r="W110" s="3"/>
      <c r="X110" s="3"/>
      <c r="Y110" s="3"/>
      <c r="Z110" s="3"/>
    </row>
    <row r="111" ht="15.75" customHeight="1">
      <c r="A111" s="120">
        <v>38108.0</v>
      </c>
      <c r="B111" s="139" t="str">
        <f>Input!H$34</f>
        <v/>
      </c>
      <c r="C111" s="3"/>
      <c r="D111" s="95">
        <v>17.0</v>
      </c>
      <c r="E111" s="161" t="s">
        <v>37</v>
      </c>
      <c r="F111" s="155" t="s">
        <v>210</v>
      </c>
      <c r="G111" s="171">
        <v>40634.0</v>
      </c>
      <c r="H111" s="171">
        <v>40664.0</v>
      </c>
      <c r="I111" s="171">
        <v>40695.0</v>
      </c>
      <c r="J111" s="171">
        <v>40725.0</v>
      </c>
      <c r="K111" s="171">
        <v>40756.0</v>
      </c>
      <c r="L111" s="171">
        <v>40787.0</v>
      </c>
      <c r="M111" s="171">
        <v>40817.0</v>
      </c>
      <c r="N111" s="171">
        <v>40848.0</v>
      </c>
      <c r="O111" s="171">
        <v>40878.0</v>
      </c>
      <c r="P111" s="171">
        <v>40909.0</v>
      </c>
      <c r="Q111" s="171">
        <v>40940.0</v>
      </c>
      <c r="R111" s="171">
        <v>40969.0</v>
      </c>
      <c r="S111" s="97">
        <f>SUM(Input!G48:R48)</f>
        <v>487084</v>
      </c>
      <c r="T111" s="153"/>
      <c r="U111" s="151"/>
      <c r="V111" s="83"/>
      <c r="W111" s="3"/>
      <c r="X111" s="3"/>
      <c r="Y111" s="3"/>
      <c r="Z111" s="3"/>
    </row>
    <row r="112" ht="15.75" customHeight="1">
      <c r="A112" s="120">
        <v>38139.0</v>
      </c>
      <c r="B112" s="139" t="str">
        <f>Input!I$34</f>
        <v/>
      </c>
      <c r="C112" s="3"/>
      <c r="D112" s="95"/>
      <c r="E112" s="161"/>
      <c r="F112" s="156" t="s">
        <v>211</v>
      </c>
      <c r="G112" s="159">
        <f>IF(Input!G48=0,0,INT((Input!G48*8.33/100)+0.5))</f>
        <v>3427</v>
      </c>
      <c r="H112" s="159">
        <f>IF(Input!H48=0,0,INT((Input!H48*8.33/100)+0.5))</f>
        <v>3175</v>
      </c>
      <c r="I112" s="159">
        <f>IF(Input!I48=0,0,INT((Input!I48*8.33/100)+0.5))</f>
        <v>3175</v>
      </c>
      <c r="J112" s="159">
        <f>IF(Input!J48=0,0,INT((Input!J48*8.33/100)+0.5))</f>
        <v>3270</v>
      </c>
      <c r="K112" s="159">
        <f>IF(Input!K48=0,0,INT((Input!K48*8.33/100)+0.5))</f>
        <v>3270</v>
      </c>
      <c r="L112" s="159">
        <f>IF(Input!L48=0,0,INT((Input!L48*8.33/100)+0.5))</f>
        <v>3270</v>
      </c>
      <c r="M112" s="159">
        <f>IF(Input!M48=0,0,INT((Input!M48*8.33/100)+0.5))</f>
        <v>3422</v>
      </c>
      <c r="N112" s="159">
        <f>IF(Input!N48=0,0,INT((Input!N48*8.33/100)+0.5))</f>
        <v>3422</v>
      </c>
      <c r="O112" s="159">
        <f>IF(Input!O48=0,0,INT((Input!O48*8.33/100)+0.5))</f>
        <v>3877</v>
      </c>
      <c r="P112" s="159">
        <f>IF(Input!P48=0,0,INT((Input!P48*8.33/100)+0.5))</f>
        <v>3422</v>
      </c>
      <c r="Q112" s="159">
        <f>IF(Input!Q48=0,0,INT((Input!Q48*8.33/100)+0.5))</f>
        <v>3422</v>
      </c>
      <c r="R112" s="159">
        <f>IF(Input!R48=0,0,INT((Input!R48*8.33/100)+0.5))</f>
        <v>3422</v>
      </c>
      <c r="S112" s="160">
        <f t="shared" ref="S112:S114" si="66">SUM(G112:R112)</f>
        <v>40574</v>
      </c>
      <c r="T112" s="153"/>
      <c r="U112" s="151"/>
      <c r="V112" s="83"/>
      <c r="W112" s="3"/>
      <c r="X112" s="3"/>
      <c r="Y112" s="3"/>
      <c r="Z112" s="3"/>
    </row>
    <row r="113" ht="15.75" customHeight="1">
      <c r="A113" s="120">
        <v>38169.0</v>
      </c>
      <c r="B113" s="139" t="str">
        <f>Input!J$34</f>
        <v/>
      </c>
      <c r="C113" s="3"/>
      <c r="D113" s="95"/>
      <c r="E113" s="161"/>
      <c r="F113" s="156" t="s">
        <v>212</v>
      </c>
      <c r="G113" s="159">
        <f>IF(Input!G48&lt;=$P$7,INT((Input!G48*8.33%)+0.5),INT(($P$7*8.33%)+0.5))</f>
        <v>541</v>
      </c>
      <c r="H113" s="159">
        <f>IF(Input!H48&lt;=$P$7,INT((Input!H48*8.33%)+0.5),INT(($P$7*8.33%)+0.5))</f>
        <v>541</v>
      </c>
      <c r="I113" s="159">
        <f>IF(Input!I48&lt;=$P$7,INT((Input!I48*8.33%)+0.5),INT(($P$7*8.33%)+0.5))</f>
        <v>541</v>
      </c>
      <c r="J113" s="159">
        <f>IF(Input!J48&lt;=$P$7,INT((Input!J48*8.33%)+0.5),INT(($P$7*8.33%)+0.5))</f>
        <v>541</v>
      </c>
      <c r="K113" s="159">
        <f>IF(Input!K48&lt;=$P$7,INT((Input!K48*8.33%)+0.5),INT(($P$7*8.33%)+0.5))</f>
        <v>541</v>
      </c>
      <c r="L113" s="159">
        <f>IF(Input!L48&lt;=$P$7,INT((Input!L48*8.33%)+0.5),INT(($P$7*8.33%)+0.5))</f>
        <v>541</v>
      </c>
      <c r="M113" s="159">
        <f>IF(Input!M48&lt;=$P$7,INT((Input!M48*8.33%)+0.5),INT(($P$7*8.33%)+0.5))</f>
        <v>541</v>
      </c>
      <c r="N113" s="159">
        <f>IF(Input!N48&lt;=$P$7,INT((Input!N48*8.33%)+0.5),INT(($P$7*8.33%)+0.5))</f>
        <v>541</v>
      </c>
      <c r="O113" s="159">
        <f>IF(Input!O48&lt;=$P$7,INT((Input!O48*8.33%)+0.5),INT(($P$7*8.33%)+0.5))</f>
        <v>541</v>
      </c>
      <c r="P113" s="159">
        <f>IF(Input!P48&lt;=$P$7,INT((Input!P48*8.33%)+0.5),INT(($P$7*8.33%)+0.5))</f>
        <v>541</v>
      </c>
      <c r="Q113" s="159">
        <f>IF(Input!Q48&lt;=$P$7,INT((Input!Q48*8.33%)+0.5),INT(($P$7*8.33%)+0.5))</f>
        <v>541</v>
      </c>
      <c r="R113" s="159">
        <f>IF(Input!R48&lt;=$P$7,INT((Input!R48*8.33%)+0.5),INT(($P$7*8.33%)+0.5))</f>
        <v>541</v>
      </c>
      <c r="S113" s="160">
        <f t="shared" si="66"/>
        <v>6492</v>
      </c>
      <c r="T113" s="153"/>
      <c r="U113" s="151"/>
      <c r="V113" s="83"/>
      <c r="W113" s="3"/>
      <c r="X113" s="3"/>
      <c r="Y113" s="3"/>
      <c r="Z113" s="3"/>
    </row>
    <row r="114" ht="15.75" customHeight="1">
      <c r="A114" s="120">
        <v>38200.0</v>
      </c>
      <c r="B114" s="139" t="str">
        <f>Input!K$34</f>
        <v/>
      </c>
      <c r="C114" s="3"/>
      <c r="D114" s="95"/>
      <c r="E114" s="161"/>
      <c r="F114" s="156" t="s">
        <v>213</v>
      </c>
      <c r="G114" s="160">
        <f t="shared" ref="G114:R114" si="67">IF(G112-G113&lt;=0,0,G112-G113)</f>
        <v>2886</v>
      </c>
      <c r="H114" s="160">
        <f t="shared" si="67"/>
        <v>2634</v>
      </c>
      <c r="I114" s="160">
        <f t="shared" si="67"/>
        <v>2634</v>
      </c>
      <c r="J114" s="160">
        <f t="shared" si="67"/>
        <v>2729</v>
      </c>
      <c r="K114" s="160">
        <f t="shared" si="67"/>
        <v>2729</v>
      </c>
      <c r="L114" s="160">
        <f t="shared" si="67"/>
        <v>2729</v>
      </c>
      <c r="M114" s="160">
        <f t="shared" si="67"/>
        <v>2881</v>
      </c>
      <c r="N114" s="160">
        <f t="shared" si="67"/>
        <v>2881</v>
      </c>
      <c r="O114" s="160">
        <f t="shared" si="67"/>
        <v>3336</v>
      </c>
      <c r="P114" s="160">
        <f t="shared" si="67"/>
        <v>2881</v>
      </c>
      <c r="Q114" s="160">
        <f t="shared" si="67"/>
        <v>2881</v>
      </c>
      <c r="R114" s="160">
        <f t="shared" si="67"/>
        <v>2881</v>
      </c>
      <c r="S114" s="160">
        <f t="shared" si="66"/>
        <v>34082</v>
      </c>
      <c r="T114" s="153"/>
      <c r="U114" s="151"/>
      <c r="V114" s="83"/>
      <c r="W114" s="3"/>
      <c r="X114" s="3"/>
      <c r="Y114" s="3"/>
      <c r="Z114" s="3"/>
    </row>
    <row r="115" ht="15.75" customHeight="1">
      <c r="A115" s="120">
        <v>38231.0</v>
      </c>
      <c r="B115" s="139" t="str">
        <f>Input!L$34</f>
        <v/>
      </c>
      <c r="C115" s="3"/>
      <c r="D115" s="95"/>
      <c r="E115" s="161" t="s">
        <v>214</v>
      </c>
      <c r="F115" s="156" t="s">
        <v>215</v>
      </c>
      <c r="G115" s="160" t="str">
        <f>IF(G111=0,0,IF($T$11&lt;=Input!G47,0,R108+R109+U109))</f>
        <v>#REF!</v>
      </c>
      <c r="H115" s="160" t="str">
        <f>IF(H111=0,0,IF($T$11&lt;=Input!H47,0,G114+G115))</f>
        <v>#REF!</v>
      </c>
      <c r="I115" s="160" t="str">
        <f>IF(I111=0,0,IF($T$11&lt;=Input!I47,0,H114+H115))</f>
        <v>#REF!</v>
      </c>
      <c r="J115" s="160" t="str">
        <f>IF(J111=0,0,IF($T$11&lt;=Input!J47,0,I114+I115))</f>
        <v>#REF!</v>
      </c>
      <c r="K115" s="160" t="str">
        <f>IF(K111=0,0,IF($T$11&lt;=Input!K47,0,J114+J115))</f>
        <v>#REF!</v>
      </c>
      <c r="L115" s="160" t="str">
        <f>IF(L111=0,0,IF($T$11&lt;=Input!L47,0,K114+K115))</f>
        <v>#REF!</v>
      </c>
      <c r="M115" s="160" t="str">
        <f>IF(M111=0,0,IF($T$11&lt;=Input!M47,0,L114+L115))</f>
        <v>#REF!</v>
      </c>
      <c r="N115" s="160" t="str">
        <f>IF(N111=0,0,IF($T$11&lt;=Input!N47,0,M114+M115))</f>
        <v>#REF!</v>
      </c>
      <c r="O115" s="160" t="str">
        <f>IF(O111=0,0,IF($T$11&lt;=Input!O47,0,N114+N115))</f>
        <v>#REF!</v>
      </c>
      <c r="P115" s="160" t="str">
        <f>IF(P111=0,0,IF($T$11&lt;=Input!P47,0,O114+O115))</f>
        <v>#REF!</v>
      </c>
      <c r="Q115" s="160" t="str">
        <f>IF(Q111=0,0,IF($T$11&lt;=Input!Q47,0,P114+P115))</f>
        <v>#REF!</v>
      </c>
      <c r="R115" s="160" t="str">
        <f>IF(R111=0,0,IF($T$11&lt;=Input!R47,0,Q114+Q115))</f>
        <v>#REF!</v>
      </c>
      <c r="S115" s="160"/>
      <c r="T115" s="162">
        <f>SUM(G114:R114)</f>
        <v>34082</v>
      </c>
      <c r="U115" s="160" t="str">
        <f>SUM(G116:R116)</f>
        <v>#REF!</v>
      </c>
      <c r="V115" s="163" t="str">
        <f>SUM(T115,U115)</f>
        <v>#REF!</v>
      </c>
      <c r="W115" s="3"/>
      <c r="X115" s="3"/>
      <c r="Y115" s="3"/>
      <c r="Z115" s="3"/>
    </row>
    <row r="116" ht="15.75" customHeight="1">
      <c r="A116" s="120">
        <v>38261.0</v>
      </c>
      <c r="B116" s="139" t="str">
        <f>Input!M$34</f>
        <v/>
      </c>
      <c r="C116" s="3"/>
      <c r="D116" s="95"/>
      <c r="E116" s="164">
        <v>0.0825</v>
      </c>
      <c r="F116" s="165" t="s">
        <v>216</v>
      </c>
      <c r="G116" s="97" t="str">
        <f t="shared" ref="G116:R116" si="68">G115/12*$E116</f>
        <v>#REF!</v>
      </c>
      <c r="H116" s="160" t="str">
        <f t="shared" si="68"/>
        <v>#REF!</v>
      </c>
      <c r="I116" s="160" t="str">
        <f t="shared" si="68"/>
        <v>#REF!</v>
      </c>
      <c r="J116" s="160" t="str">
        <f t="shared" si="68"/>
        <v>#REF!</v>
      </c>
      <c r="K116" s="160" t="str">
        <f t="shared" si="68"/>
        <v>#REF!</v>
      </c>
      <c r="L116" s="160" t="str">
        <f t="shared" si="68"/>
        <v>#REF!</v>
      </c>
      <c r="M116" s="160" t="str">
        <f t="shared" si="68"/>
        <v>#REF!</v>
      </c>
      <c r="N116" s="160" t="str">
        <f t="shared" si="68"/>
        <v>#REF!</v>
      </c>
      <c r="O116" s="160" t="str">
        <f t="shared" si="68"/>
        <v>#REF!</v>
      </c>
      <c r="P116" s="160" t="str">
        <f t="shared" si="68"/>
        <v>#REF!</v>
      </c>
      <c r="Q116" s="160" t="str">
        <f t="shared" si="68"/>
        <v>#REF!</v>
      </c>
      <c r="R116" s="160" t="str">
        <f t="shared" si="68"/>
        <v>#REF!</v>
      </c>
      <c r="S116" s="160" t="str">
        <f>SUM(G116:R116)</f>
        <v>#REF!</v>
      </c>
      <c r="T116" s="168" t="str">
        <f t="shared" ref="T116:V116" si="69">SUM(T19,T25,T31,T37,T43,T49,T55,T61,T67,T73,T79,T85,T91,T97,T103,T109,T115)</f>
        <v>#REF!</v>
      </c>
      <c r="U116" s="169" t="str">
        <f t="shared" si="69"/>
        <v>#REF!</v>
      </c>
      <c r="V116" s="170" t="str">
        <f t="shared" si="69"/>
        <v>#REF!</v>
      </c>
      <c r="W116" s="3"/>
      <c r="X116" s="3"/>
      <c r="Y116" s="3"/>
      <c r="Z116" s="3"/>
    </row>
    <row r="117" ht="15.75" customHeight="1">
      <c r="A117" s="120">
        <v>38292.0</v>
      </c>
      <c r="B117" s="139" t="str">
        <f>Input!N$34</f>
        <v/>
      </c>
      <c r="C117" s="3"/>
      <c r="D117" s="95">
        <v>18.0</v>
      </c>
      <c r="E117" s="161" t="s">
        <v>38</v>
      </c>
      <c r="F117" s="155" t="s">
        <v>210</v>
      </c>
      <c r="G117" s="171">
        <v>41000.0</v>
      </c>
      <c r="H117" s="171">
        <v>41030.0</v>
      </c>
      <c r="I117" s="171">
        <v>41061.0</v>
      </c>
      <c r="J117" s="171">
        <v>41091.0</v>
      </c>
      <c r="K117" s="171">
        <v>41122.0</v>
      </c>
      <c r="L117" s="171">
        <v>41153.0</v>
      </c>
      <c r="M117" s="171">
        <v>41183.0</v>
      </c>
      <c r="N117" s="171">
        <v>41214.0</v>
      </c>
      <c r="O117" s="171">
        <v>41244.0</v>
      </c>
      <c r="P117" s="171">
        <v>41275.0</v>
      </c>
      <c r="Q117" s="171">
        <v>41306.0</v>
      </c>
      <c r="R117" s="171">
        <v>41334.0</v>
      </c>
      <c r="S117" s="97">
        <f>SUM(Input!G50:R50)</f>
        <v>548718</v>
      </c>
      <c r="T117" s="153"/>
      <c r="U117" s="151"/>
      <c r="V117" s="83"/>
      <c r="W117" s="3"/>
      <c r="X117" s="3"/>
      <c r="Y117" s="3"/>
      <c r="Z117" s="3"/>
    </row>
    <row r="118" ht="15.75" customHeight="1">
      <c r="A118" s="120">
        <v>38322.0</v>
      </c>
      <c r="B118" s="139" t="str">
        <f>Input!O$34</f>
        <v/>
      </c>
      <c r="C118" s="3"/>
      <c r="D118" s="95"/>
      <c r="E118" s="161"/>
      <c r="F118" s="156" t="s">
        <v>211</v>
      </c>
      <c r="G118" s="159">
        <f>IF(Input!G50=0,0,INT((Input!G50*8.33/100)+0.5))</f>
        <v>3574</v>
      </c>
      <c r="H118" s="159">
        <f>IF(Input!H50=0,0,INT((Input!H50*8.33/100)+0.5))</f>
        <v>3574</v>
      </c>
      <c r="I118" s="159">
        <f>IF(Input!I50=0,0,INT((Input!I50*8.33/100)+0.5))</f>
        <v>4028</v>
      </c>
      <c r="J118" s="159">
        <f>IF(Input!J50=0,0,INT((Input!J50*8.33/100)+0.5))</f>
        <v>3681</v>
      </c>
      <c r="K118" s="159">
        <f>IF(Input!K50=0,0,INT((Input!K50*8.33/100)+0.5))</f>
        <v>3681</v>
      </c>
      <c r="L118" s="159">
        <f>IF(Input!L50=0,0,INT((Input!L50*8.33/100)+0.5))</f>
        <v>3681</v>
      </c>
      <c r="M118" s="159">
        <f>IF(Input!M50=0,0,INT((Input!M50*8.33/100)+0.5))</f>
        <v>3837</v>
      </c>
      <c r="N118" s="159">
        <f>IF(Input!N50=0,0,INT((Input!N50*8.33/100)+0.5))</f>
        <v>4306</v>
      </c>
      <c r="O118" s="159">
        <f>IF(Input!O50=0,0,INT((Input!O50*8.33/100)+0.5))</f>
        <v>3837</v>
      </c>
      <c r="P118" s="159">
        <f>IF(Input!P50=0,0,INT((Input!P50*8.33/100)+0.5))</f>
        <v>3837</v>
      </c>
      <c r="Q118" s="159">
        <f>IF(Input!Q50=0,0,INT((Input!Q50*8.33/100)+0.5))</f>
        <v>3837</v>
      </c>
      <c r="R118" s="159">
        <f>IF(Input!R50=0,0,INT((Input!R50*8.33/100)+0.5))</f>
        <v>3837</v>
      </c>
      <c r="S118" s="160">
        <f t="shared" ref="S118:S120" si="70">SUM(G118:R118)</f>
        <v>45710</v>
      </c>
      <c r="T118" s="153"/>
      <c r="U118" s="151"/>
      <c r="V118" s="83"/>
      <c r="W118" s="3"/>
      <c r="X118" s="3"/>
      <c r="Y118" s="3"/>
      <c r="Z118" s="3"/>
    </row>
    <row r="119" ht="15.75" customHeight="1">
      <c r="A119" s="120">
        <v>38353.0</v>
      </c>
      <c r="B119" s="139" t="str">
        <f>Input!P$34</f>
        <v/>
      </c>
      <c r="C119" s="3"/>
      <c r="D119" s="95"/>
      <c r="E119" s="161"/>
      <c r="F119" s="156" t="s">
        <v>212</v>
      </c>
      <c r="G119" s="159">
        <f>IF(Input!G50&lt;=$P$7,INT((Input!G50*8.33%)+0.5),INT(($P$7*8.33%)+0.5))</f>
        <v>541</v>
      </c>
      <c r="H119" s="159">
        <f>IF(Input!H50&lt;=$P$7,INT((Input!H50*8.33%)+0.5),INT(($P$7*8.33%)+0.5))</f>
        <v>541</v>
      </c>
      <c r="I119" s="159">
        <f>IF(Input!I50&lt;=$P$7,INT((Input!I50*8.33%)+0.5),INT(($P$7*8.33%)+0.5))</f>
        <v>541</v>
      </c>
      <c r="J119" s="159">
        <f>IF(Input!J50&lt;=$P$7,INT((Input!J50*8.33%)+0.5),INT(($P$7*8.33%)+0.5))</f>
        <v>541</v>
      </c>
      <c r="K119" s="159">
        <f>IF(Input!K50&lt;=$P$7,INT((Input!K50*8.33%)+0.5),INT(($P$7*8.33%)+0.5))</f>
        <v>541</v>
      </c>
      <c r="L119" s="159">
        <f>IF(Input!L50&lt;=$P$7,INT((Input!L50*8.33%)+0.5),INT(($P$7*8.33%)+0.5))</f>
        <v>541</v>
      </c>
      <c r="M119" s="159">
        <f>IF(Input!M50&lt;=$P$7,INT((Input!M50*8.33%)+0.5),INT(($P$7*8.33%)+0.5))</f>
        <v>541</v>
      </c>
      <c r="N119" s="159">
        <f>IF(Input!N50&lt;=$P$7,INT((Input!N50*8.33%)+0.5),INT(($P$7*8.33%)+0.5))</f>
        <v>541</v>
      </c>
      <c r="O119" s="159">
        <f>IF(Input!O50&lt;=$P$7,INT((Input!O50*8.33%)+0.5),INT(($P$7*8.33%)+0.5))</f>
        <v>541</v>
      </c>
      <c r="P119" s="159">
        <f>IF(Input!P50&lt;=$P$7,INT((Input!P50*8.33%)+0.5),INT(($P$7*8.33%)+0.5))</f>
        <v>541</v>
      </c>
      <c r="Q119" s="159">
        <f>IF(Input!Q50&lt;=$P$7,INT((Input!Q50*8.33%)+0.5),INT(($P$7*8.33%)+0.5))</f>
        <v>541</v>
      </c>
      <c r="R119" s="159">
        <f>IF(Input!R50&lt;=$P$7,INT((Input!R50*8.33%)+0.5),INT(($P$7*8.33%)+0.5))</f>
        <v>541</v>
      </c>
      <c r="S119" s="160">
        <f t="shared" si="70"/>
        <v>6492</v>
      </c>
      <c r="T119" s="153"/>
      <c r="U119" s="151"/>
      <c r="V119" s="83"/>
      <c r="W119" s="3"/>
      <c r="X119" s="3"/>
      <c r="Y119" s="3"/>
      <c r="Z119" s="3"/>
    </row>
    <row r="120" ht="15.75" customHeight="1">
      <c r="A120" s="120">
        <v>38384.0</v>
      </c>
      <c r="B120" s="139" t="str">
        <f>Input!Q$34</f>
        <v/>
      </c>
      <c r="C120" s="3"/>
      <c r="D120" s="95"/>
      <c r="E120" s="161"/>
      <c r="F120" s="156" t="s">
        <v>213</v>
      </c>
      <c r="G120" s="160">
        <f t="shared" ref="G120:R120" si="71">IF(G118-G119&lt;=0,0,G118-G119)</f>
        <v>3033</v>
      </c>
      <c r="H120" s="160">
        <f t="shared" si="71"/>
        <v>3033</v>
      </c>
      <c r="I120" s="160">
        <f t="shared" si="71"/>
        <v>3487</v>
      </c>
      <c r="J120" s="160">
        <f t="shared" si="71"/>
        <v>3140</v>
      </c>
      <c r="K120" s="160">
        <f t="shared" si="71"/>
        <v>3140</v>
      </c>
      <c r="L120" s="160">
        <f t="shared" si="71"/>
        <v>3140</v>
      </c>
      <c r="M120" s="160">
        <f t="shared" si="71"/>
        <v>3296</v>
      </c>
      <c r="N120" s="160">
        <f t="shared" si="71"/>
        <v>3765</v>
      </c>
      <c r="O120" s="160">
        <f t="shared" si="71"/>
        <v>3296</v>
      </c>
      <c r="P120" s="160">
        <f t="shared" si="71"/>
        <v>3296</v>
      </c>
      <c r="Q120" s="160">
        <f t="shared" si="71"/>
        <v>3296</v>
      </c>
      <c r="R120" s="160">
        <f t="shared" si="71"/>
        <v>3296</v>
      </c>
      <c r="S120" s="160">
        <f t="shared" si="70"/>
        <v>39218</v>
      </c>
      <c r="T120" s="153"/>
      <c r="U120" s="151"/>
      <c r="V120" s="83"/>
      <c r="W120" s="3"/>
      <c r="X120" s="3"/>
      <c r="Y120" s="3"/>
      <c r="Z120" s="3"/>
    </row>
    <row r="121" ht="15.75" customHeight="1">
      <c r="A121" s="120">
        <v>38412.0</v>
      </c>
      <c r="B121" s="139" t="str">
        <f>Input!R$34</f>
        <v/>
      </c>
      <c r="C121" s="3"/>
      <c r="D121" s="95"/>
      <c r="E121" s="161" t="s">
        <v>214</v>
      </c>
      <c r="F121" s="156" t="s">
        <v>215</v>
      </c>
      <c r="G121" s="160" t="str">
        <f>IF(G117=0,0,IF($T$11&lt;=Input!G49,0,R114+R115+U115))</f>
        <v>#REF!</v>
      </c>
      <c r="H121" s="160" t="str">
        <f>IF(H117=0,0,IF($T$11&lt;=Input!H49,0,G120+G121))</f>
        <v>#REF!</v>
      </c>
      <c r="I121" s="160" t="str">
        <f>IF(I117=0,0,IF($T$11&lt;=Input!I49,0,H120+H121))</f>
        <v>#REF!</v>
      </c>
      <c r="J121" s="160" t="str">
        <f>IF(J117=0,0,IF($T$11&lt;=Input!J49,0,I120+I121))</f>
        <v>#REF!</v>
      </c>
      <c r="K121" s="160" t="str">
        <f>IF(K117=0,0,IF($T$11&lt;=Input!K49,0,J120+J121))</f>
        <v>#REF!</v>
      </c>
      <c r="L121" s="160" t="str">
        <f>IF(L117=0,0,IF($T$11&lt;=Input!L49,0,K120+K121))</f>
        <v>#REF!</v>
      </c>
      <c r="M121" s="160" t="str">
        <f>IF(M117=0,0,IF($T$11&lt;=Input!M49,0,L120+L121))</f>
        <v>#REF!</v>
      </c>
      <c r="N121" s="160" t="str">
        <f>IF(N117=0,0,IF($T$11&lt;=Input!N49,0,M120+M121))</f>
        <v>#REF!</v>
      </c>
      <c r="O121" s="160" t="str">
        <f>IF(O117=0,0,IF($T$11&lt;=Input!O49,0,N120+N121))</f>
        <v>#REF!</v>
      </c>
      <c r="P121" s="160" t="str">
        <f>IF(P117=0,0,IF($T$11&lt;=Input!P49,0,O120+O121))</f>
        <v>#REF!</v>
      </c>
      <c r="Q121" s="160" t="str">
        <f>IF(Q117=0,0,IF($T$11&lt;=Input!Q49,0,P120+P121))</f>
        <v>#REF!</v>
      </c>
      <c r="R121" s="160" t="str">
        <f>IF(R117=0,0,IF($T$11&lt;=Input!R49,0,Q120+Q121))</f>
        <v>#REF!</v>
      </c>
      <c r="S121" s="160"/>
      <c r="T121" s="162">
        <f>SUM(G120:R120)</f>
        <v>39218</v>
      </c>
      <c r="U121" s="160" t="str">
        <f>SUM(G122:R122)</f>
        <v>#REF!</v>
      </c>
      <c r="V121" s="163" t="str">
        <f>SUM(T121,U121)</f>
        <v>#REF!</v>
      </c>
      <c r="W121" s="3"/>
      <c r="X121" s="3"/>
      <c r="Y121" s="3"/>
      <c r="Z121" s="3"/>
    </row>
    <row r="122" ht="15.75" customHeight="1">
      <c r="A122" s="120">
        <v>38443.0</v>
      </c>
      <c r="B122" s="139" t="str">
        <f>Input!G$36</f>
        <v/>
      </c>
      <c r="C122" s="3"/>
      <c r="D122" s="95"/>
      <c r="E122" s="164">
        <v>0.085</v>
      </c>
      <c r="F122" s="165" t="s">
        <v>216</v>
      </c>
      <c r="G122" s="97" t="str">
        <f t="shared" ref="G122:R122" si="72">G121/12*$E122</f>
        <v>#REF!</v>
      </c>
      <c r="H122" s="160" t="str">
        <f t="shared" si="72"/>
        <v>#REF!</v>
      </c>
      <c r="I122" s="160" t="str">
        <f t="shared" si="72"/>
        <v>#REF!</v>
      </c>
      <c r="J122" s="160" t="str">
        <f t="shared" si="72"/>
        <v>#REF!</v>
      </c>
      <c r="K122" s="160" t="str">
        <f t="shared" si="72"/>
        <v>#REF!</v>
      </c>
      <c r="L122" s="160" t="str">
        <f t="shared" si="72"/>
        <v>#REF!</v>
      </c>
      <c r="M122" s="160" t="str">
        <f t="shared" si="72"/>
        <v>#REF!</v>
      </c>
      <c r="N122" s="160" t="str">
        <f t="shared" si="72"/>
        <v>#REF!</v>
      </c>
      <c r="O122" s="160" t="str">
        <f t="shared" si="72"/>
        <v>#REF!</v>
      </c>
      <c r="P122" s="160" t="str">
        <f t="shared" si="72"/>
        <v>#REF!</v>
      </c>
      <c r="Q122" s="160" t="str">
        <f t="shared" si="72"/>
        <v>#REF!</v>
      </c>
      <c r="R122" s="160" t="str">
        <f t="shared" si="72"/>
        <v>#REF!</v>
      </c>
      <c r="S122" s="160" t="str">
        <f>SUM(G122:R122)</f>
        <v>#REF!</v>
      </c>
      <c r="T122" s="168" t="str">
        <f t="shared" ref="T122:V122" si="73">SUM(T19,T25,T31,T37,T43,T49,T55,T61,T67,T73,T79,T85,T91,T97,T103,T109,T115,T121)</f>
        <v>#REF!</v>
      </c>
      <c r="U122" s="169" t="str">
        <f t="shared" si="73"/>
        <v>#REF!</v>
      </c>
      <c r="V122" s="170" t="str">
        <f t="shared" si="73"/>
        <v>#REF!</v>
      </c>
      <c r="W122" s="3"/>
      <c r="X122" s="3"/>
      <c r="Y122" s="3"/>
      <c r="Z122" s="3"/>
    </row>
    <row r="123" ht="15.75" customHeight="1">
      <c r="A123" s="120">
        <v>38473.0</v>
      </c>
      <c r="B123" s="139" t="str">
        <f>Input!H$36</f>
        <v/>
      </c>
      <c r="C123" s="3"/>
      <c r="D123" s="95">
        <v>19.0</v>
      </c>
      <c r="E123" s="161" t="s">
        <v>39</v>
      </c>
      <c r="F123" s="155" t="s">
        <v>210</v>
      </c>
      <c r="G123" s="171">
        <v>41365.0</v>
      </c>
      <c r="H123" s="171">
        <v>41395.0</v>
      </c>
      <c r="I123" s="171">
        <v>41426.0</v>
      </c>
      <c r="J123" s="171">
        <v>41456.0</v>
      </c>
      <c r="K123" s="171">
        <v>41487.0</v>
      </c>
      <c r="L123" s="171">
        <v>41518.0</v>
      </c>
      <c r="M123" s="171">
        <v>41548.0</v>
      </c>
      <c r="N123" s="171">
        <v>41579.0</v>
      </c>
      <c r="O123" s="171">
        <v>41609.0</v>
      </c>
      <c r="P123" s="171">
        <v>41640.0</v>
      </c>
      <c r="Q123" s="171">
        <v>41671.0</v>
      </c>
      <c r="R123" s="171">
        <v>41699.0</v>
      </c>
      <c r="S123" s="97">
        <f>SUM(Input!G52:R52)</f>
        <v>622827</v>
      </c>
      <c r="T123" s="153"/>
      <c r="U123" s="151"/>
      <c r="V123" s="83"/>
      <c r="W123" s="3"/>
      <c r="X123" s="3"/>
      <c r="Y123" s="3"/>
      <c r="Z123" s="3"/>
    </row>
    <row r="124" ht="15.75" customHeight="1">
      <c r="A124" s="120">
        <v>38504.0</v>
      </c>
      <c r="B124" s="139" t="str">
        <f>Input!I$36</f>
        <v/>
      </c>
      <c r="C124" s="3"/>
      <c r="D124" s="95"/>
      <c r="E124" s="161"/>
      <c r="F124" s="156" t="s">
        <v>211</v>
      </c>
      <c r="G124" s="159">
        <f>IF(Input!G52=0,0,INT((Input!G52*8.33/100)+0.5))</f>
        <v>3837</v>
      </c>
      <c r="H124" s="159">
        <f>IF(Input!H52=0,0,INT((Input!H52*8.33/100)+0.5))</f>
        <v>4729</v>
      </c>
      <c r="I124" s="159">
        <f>IF(Input!I52=0,0,INT((Input!I52*8.33/100)+0.5))</f>
        <v>4015</v>
      </c>
      <c r="J124" s="159">
        <f>IF(Input!J52=0,0,INT((Input!J52*8.33/100)+0.5))</f>
        <v>4137</v>
      </c>
      <c r="K124" s="159">
        <f>IF(Input!K52=0,0,INT((Input!K52*8.33/100)+0.5))</f>
        <v>4137</v>
      </c>
      <c r="L124" s="159">
        <f>IF(Input!L52=0,0,INT((Input!L52*8.33/100)+0.5))</f>
        <v>4826</v>
      </c>
      <c r="M124" s="159">
        <f>IF(Input!M52=0,0,INT((Input!M52*8.33/100)+0.5))</f>
        <v>4367</v>
      </c>
      <c r="N124" s="159">
        <f>IF(Input!G54=0,0,INT((Input!G54*8.33/100)+0.5))</f>
        <v>5286</v>
      </c>
      <c r="O124" s="159">
        <f>IF(Input!O52=0,0,INT((Input!O52*8.33/100)+0.5))</f>
        <v>4367</v>
      </c>
      <c r="P124" s="159">
        <f>IF(Input!P52=0,0,INT((Input!P52*8.33/100)+0.5))</f>
        <v>4367</v>
      </c>
      <c r="Q124" s="159">
        <f>IF(Input!Q52=0,0,INT((Input!Q52*8.33/100)+0.5))</f>
        <v>4367</v>
      </c>
      <c r="R124" s="159">
        <f>IF(Input!R52=0,0,INT((Input!R52*8.33/100)+0.5))</f>
        <v>4367</v>
      </c>
      <c r="S124" s="160">
        <f t="shared" ref="S124:S126" si="74">SUM(G124:R124)</f>
        <v>52802</v>
      </c>
      <c r="T124" s="153"/>
      <c r="U124" s="151"/>
      <c r="V124" s="83"/>
      <c r="W124" s="3"/>
      <c r="X124" s="3"/>
      <c r="Y124" s="3"/>
      <c r="Z124" s="3"/>
    </row>
    <row r="125" ht="15.75" customHeight="1">
      <c r="A125" s="120">
        <v>38534.0</v>
      </c>
      <c r="B125" s="139" t="str">
        <f>Input!J$36</f>
        <v/>
      </c>
      <c r="C125" s="3"/>
      <c r="D125" s="95"/>
      <c r="E125" s="161"/>
      <c r="F125" s="156" t="s">
        <v>212</v>
      </c>
      <c r="G125" s="159">
        <f>IF(Input!G52&lt;=$P$7,INT((Input!G52*8.33%)+0.5),INT(($P$7*8.33%)+0.5))</f>
        <v>541</v>
      </c>
      <c r="H125" s="159">
        <f>IF(Input!H52&lt;=$P$7,INT((Input!H52*8.33%)+0.5),INT(($P$7*8.33%)+0.5))</f>
        <v>541</v>
      </c>
      <c r="I125" s="159">
        <f>IF(Input!I52&lt;=$P$7,INT((Input!I52*8.33%)+0.5),INT(($P$7*8.33%)+0.5))</f>
        <v>541</v>
      </c>
      <c r="J125" s="159">
        <f>IF(Input!J52&lt;=$P$7,INT((Input!J52*8.33%)+0.5),INT(($P$7*8.33%)+0.5))</f>
        <v>541</v>
      </c>
      <c r="K125" s="159">
        <f>IF(Input!K52&lt;=$P$7,INT((Input!K52*8.33%)+0.5),INT(($P$7*8.33%)+0.5))</f>
        <v>541</v>
      </c>
      <c r="L125" s="159">
        <f>IF(Input!L52&lt;=$P$7,INT((Input!L52*8.33%)+0.5),INT(($P$7*8.33%)+0.5))</f>
        <v>541</v>
      </c>
      <c r="M125" s="159">
        <f>IF(Input!M52&lt;=$P$7,INT((Input!M52*8.33%)+0.5),INT(($P$7*8.33%)+0.5))</f>
        <v>541</v>
      </c>
      <c r="N125" s="159">
        <f>IF(Input!G54&lt;=$P$7,INT((Input!G54*8.33%)+0.5),INT(($P$7*8.33%)+0.5))</f>
        <v>541</v>
      </c>
      <c r="O125" s="159">
        <f>IF(Input!O52&lt;=$P$7,INT((Input!O52*8.33%)+0.5),INT(($P$7*8.33%)+0.5))</f>
        <v>541</v>
      </c>
      <c r="P125" s="159">
        <f>IF(Input!P52&lt;=$P$7,INT((Input!P52*8.33%)+0.5),INT(($P$7*8.33%)+0.5))</f>
        <v>541</v>
      </c>
      <c r="Q125" s="159">
        <f>IF(Input!Q52&lt;=$P$7,INT((Input!Q52*8.33%)+0.5),INT(($P$7*8.33%)+0.5))</f>
        <v>541</v>
      </c>
      <c r="R125" s="159">
        <f>IF(Input!R52&lt;=$P$7,INT((Input!R52*8.33%)+0.5),INT(($P$7*8.33%)+0.5))</f>
        <v>541</v>
      </c>
      <c r="S125" s="160">
        <f t="shared" si="74"/>
        <v>6492</v>
      </c>
      <c r="T125" s="153"/>
      <c r="U125" s="151"/>
      <c r="V125" s="83"/>
      <c r="W125" s="3"/>
      <c r="X125" s="3"/>
      <c r="Y125" s="3"/>
      <c r="Z125" s="3"/>
    </row>
    <row r="126" ht="15.75" customHeight="1">
      <c r="A126" s="120">
        <v>38565.0</v>
      </c>
      <c r="B126" s="139" t="str">
        <f>Input!K$36</f>
        <v/>
      </c>
      <c r="C126" s="3"/>
      <c r="D126" s="95"/>
      <c r="E126" s="161"/>
      <c r="F126" s="156" t="s">
        <v>213</v>
      </c>
      <c r="G126" s="160">
        <f t="shared" ref="G126:R126" si="75">IF(G124-G125&lt;=0,0,G124-G125)</f>
        <v>3296</v>
      </c>
      <c r="H126" s="160">
        <f t="shared" si="75"/>
        <v>4188</v>
      </c>
      <c r="I126" s="160">
        <f t="shared" si="75"/>
        <v>3474</v>
      </c>
      <c r="J126" s="160">
        <f t="shared" si="75"/>
        <v>3596</v>
      </c>
      <c r="K126" s="160">
        <f t="shared" si="75"/>
        <v>3596</v>
      </c>
      <c r="L126" s="160">
        <f t="shared" si="75"/>
        <v>4285</v>
      </c>
      <c r="M126" s="160">
        <f t="shared" si="75"/>
        <v>3826</v>
      </c>
      <c r="N126" s="160">
        <f t="shared" si="75"/>
        <v>4745</v>
      </c>
      <c r="O126" s="160">
        <f t="shared" si="75"/>
        <v>3826</v>
      </c>
      <c r="P126" s="160">
        <f t="shared" si="75"/>
        <v>3826</v>
      </c>
      <c r="Q126" s="160">
        <f t="shared" si="75"/>
        <v>3826</v>
      </c>
      <c r="R126" s="160">
        <f t="shared" si="75"/>
        <v>3826</v>
      </c>
      <c r="S126" s="160">
        <f t="shared" si="74"/>
        <v>46310</v>
      </c>
      <c r="T126" s="153"/>
      <c r="U126" s="151"/>
      <c r="V126" s="83"/>
      <c r="W126" s="3"/>
      <c r="X126" s="3"/>
      <c r="Y126" s="3"/>
      <c r="Z126" s="3"/>
    </row>
    <row r="127" ht="15.75" customHeight="1">
      <c r="A127" s="120">
        <v>38596.0</v>
      </c>
      <c r="B127" s="139" t="str">
        <f>Input!L$36</f>
        <v/>
      </c>
      <c r="C127" s="3"/>
      <c r="D127" s="95"/>
      <c r="E127" s="161" t="s">
        <v>214</v>
      </c>
      <c r="F127" s="156" t="s">
        <v>215</v>
      </c>
      <c r="G127" s="160" t="str">
        <f>IF(G123=0,0,IF($T$11&lt;=Input!G51,0,R120+R121+U121))</f>
        <v>#REF!</v>
      </c>
      <c r="H127" s="160" t="str">
        <f>IF(H123=0,0,IF($T$11&lt;=Input!H51,0,G126+G127))</f>
        <v>#REF!</v>
      </c>
      <c r="I127" s="160" t="str">
        <f>IF(I123=0,0,IF($T$11&lt;=Input!I51,0,H126+H127))</f>
        <v>#REF!</v>
      </c>
      <c r="J127" s="160" t="str">
        <f>IF(J123=0,0,IF($T$11&lt;=Input!J51,0,I126+I127))</f>
        <v>#REF!</v>
      </c>
      <c r="K127" s="160" t="str">
        <f>IF(K123=0,0,IF($T$11&lt;=Input!K51,0,J126+J127))</f>
        <v>#REF!</v>
      </c>
      <c r="L127" s="160" t="str">
        <f>IF(L123=0,0,IF($T$11&lt;=Input!L51,0,K126+K127))</f>
        <v>#REF!</v>
      </c>
      <c r="M127" s="160" t="str">
        <f>IF(M123=0,0,IF($T$11&lt;=Input!M51,0,L126+L127))</f>
        <v>#REF!</v>
      </c>
      <c r="N127" s="160" t="str">
        <f>IF(N123=0,0,IF($T$11&lt;=Input!N51,0,M126+M127))</f>
        <v>#REF!</v>
      </c>
      <c r="O127" s="160" t="str">
        <f>IF(O123=0,0,IF($T$11&lt;=Input!O51,0,N126+N127))</f>
        <v>#REF!</v>
      </c>
      <c r="P127" s="160" t="str">
        <f>IF(P123=0,0,IF($T$11&lt;=Input!P51,0,O126+O127))</f>
        <v>#REF!</v>
      </c>
      <c r="Q127" s="160" t="str">
        <f>IF(Q123=0,0,IF($T$11&lt;=Input!Q51,0,P126+P127))</f>
        <v>#REF!</v>
      </c>
      <c r="R127" s="160" t="str">
        <f>IF(R123=0,0,IF($T$11&lt;=Input!R51,0,Q126+Q127))</f>
        <v>#REF!</v>
      </c>
      <c r="S127" s="160"/>
      <c r="T127" s="162">
        <f>SUM(G126:R126)</f>
        <v>46310</v>
      </c>
      <c r="U127" s="160" t="str">
        <f>SUM(G128:R128)</f>
        <v>#REF!</v>
      </c>
      <c r="V127" s="163" t="str">
        <f>SUM(T127,U127)</f>
        <v>#REF!</v>
      </c>
      <c r="W127" s="3"/>
      <c r="X127" s="3"/>
      <c r="Y127" s="3"/>
      <c r="Z127" s="3"/>
    </row>
    <row r="128" ht="15.75" customHeight="1">
      <c r="A128" s="120">
        <v>38626.0</v>
      </c>
      <c r="B128" s="139" t="str">
        <f>Input!M$36</f>
        <v/>
      </c>
      <c r="C128" s="3"/>
      <c r="D128" s="95"/>
      <c r="E128" s="164">
        <v>0.0875</v>
      </c>
      <c r="F128" s="165" t="s">
        <v>216</v>
      </c>
      <c r="G128" s="97" t="str">
        <f t="shared" ref="G128:R128" si="76">G127/12*$E128</f>
        <v>#REF!</v>
      </c>
      <c r="H128" s="160" t="str">
        <f t="shared" si="76"/>
        <v>#REF!</v>
      </c>
      <c r="I128" s="160" t="str">
        <f t="shared" si="76"/>
        <v>#REF!</v>
      </c>
      <c r="J128" s="160" t="str">
        <f t="shared" si="76"/>
        <v>#REF!</v>
      </c>
      <c r="K128" s="160" t="str">
        <f t="shared" si="76"/>
        <v>#REF!</v>
      </c>
      <c r="L128" s="160" t="str">
        <f t="shared" si="76"/>
        <v>#REF!</v>
      </c>
      <c r="M128" s="160" t="str">
        <f t="shared" si="76"/>
        <v>#REF!</v>
      </c>
      <c r="N128" s="160" t="str">
        <f t="shared" si="76"/>
        <v>#REF!</v>
      </c>
      <c r="O128" s="160" t="str">
        <f t="shared" si="76"/>
        <v>#REF!</v>
      </c>
      <c r="P128" s="160" t="str">
        <f t="shared" si="76"/>
        <v>#REF!</v>
      </c>
      <c r="Q128" s="160" t="str">
        <f t="shared" si="76"/>
        <v>#REF!</v>
      </c>
      <c r="R128" s="160" t="str">
        <f t="shared" si="76"/>
        <v>#REF!</v>
      </c>
      <c r="S128" s="160" t="str">
        <f>SUM(G128:R128)</f>
        <v>#REF!</v>
      </c>
      <c r="T128" s="168" t="str">
        <f t="shared" ref="T128:V128" si="77">SUM(T19,T25,T31,T37,T43,T49,T55,T61,T67,T73,T79,T85,T91,T97,T103,T109,T115,T121,T127)</f>
        <v>#REF!</v>
      </c>
      <c r="U128" s="169" t="str">
        <f t="shared" si="77"/>
        <v>#REF!</v>
      </c>
      <c r="V128" s="170" t="str">
        <f t="shared" si="77"/>
        <v>#REF!</v>
      </c>
      <c r="W128" s="3"/>
      <c r="X128" s="3"/>
      <c r="Y128" s="3"/>
      <c r="Z128" s="3"/>
    </row>
    <row r="129" ht="15.75" customHeight="1">
      <c r="A129" s="120">
        <v>38657.0</v>
      </c>
      <c r="B129" s="139" t="str">
        <f>Input!N$36</f>
        <v/>
      </c>
      <c r="C129" s="3"/>
      <c r="D129" s="183">
        <v>20.0</v>
      </c>
      <c r="E129" s="95" t="s">
        <v>40</v>
      </c>
      <c r="F129" s="155" t="s">
        <v>210</v>
      </c>
      <c r="G129" s="171">
        <v>41730.0</v>
      </c>
      <c r="H129" s="171">
        <v>41760.0</v>
      </c>
      <c r="I129" s="171">
        <v>41791.0</v>
      </c>
      <c r="J129" s="171">
        <v>41821.0</v>
      </c>
      <c r="K129" s="179">
        <v>41852.0</v>
      </c>
      <c r="L129" s="179">
        <v>41883.0</v>
      </c>
      <c r="M129" s="184">
        <v>41913.0</v>
      </c>
      <c r="N129" s="171">
        <v>41944.0</v>
      </c>
      <c r="O129" s="171">
        <v>41974.0</v>
      </c>
      <c r="P129" s="171">
        <v>42005.0</v>
      </c>
      <c r="Q129" s="171">
        <v>42036.0</v>
      </c>
      <c r="R129" s="171">
        <v>42064.0</v>
      </c>
      <c r="S129" s="97">
        <f>SUM(Input!G54:R54)</f>
        <v>678066</v>
      </c>
      <c r="T129" s="181"/>
      <c r="U129" s="154"/>
      <c r="V129" s="82"/>
      <c r="W129" s="3"/>
      <c r="X129" s="3"/>
      <c r="Y129" s="3"/>
      <c r="Z129" s="3"/>
    </row>
    <row r="130" ht="15.75" customHeight="1">
      <c r="A130" s="120">
        <v>38687.0</v>
      </c>
      <c r="B130" s="139" t="str">
        <f>Input!O$36</f>
        <v/>
      </c>
      <c r="C130" s="3"/>
      <c r="D130" s="185"/>
      <c r="E130" s="95"/>
      <c r="F130" s="156" t="s">
        <v>211</v>
      </c>
      <c r="G130" s="159" t="str">
        <f>IF(#REF!=0,0,INT((#REF!*8.33/100)+0.5))</f>
        <v>#REF!</v>
      </c>
      <c r="H130" s="159">
        <f>IF(Input!H54=0,0,INT((Input!H54*8.33/100)+0.5))</f>
        <v>4596</v>
      </c>
      <c r="I130" s="159">
        <f>IF(Input!I54=0,0,INT((Input!I54*8.33/100)+0.5))</f>
        <v>4596</v>
      </c>
      <c r="J130" s="159">
        <f>IF(Input!J54=0,0,INT((Input!J54*8.33/100)+0.5))</f>
        <v>4735</v>
      </c>
      <c r="K130" s="159">
        <f>IF(Input!K54=0,0,INT((Input!K54*8.33/100)+0.5))</f>
        <v>4735</v>
      </c>
      <c r="L130" s="159">
        <f>IF(Input!L54=0,0,INT((Input!L54*8.33/100)+0.5))</f>
        <v>4900</v>
      </c>
      <c r="M130" s="186">
        <f>IF(Input!M54=0,0,INT((Input!M54*8.33/100)+0.5))</f>
        <v>4900</v>
      </c>
      <c r="N130" s="159">
        <f>IF(Input!N54=0,0,INT((Input!N54*8.33/100)+0.5))</f>
        <v>5232</v>
      </c>
      <c r="O130" s="159">
        <f>IF(Input!O54=0,0,INT((Input!O54*8.33/100)+0.5))</f>
        <v>4900</v>
      </c>
      <c r="P130" s="159">
        <f>IF(Input!P54=0,0,INT((Input!P54*8.33/100)+0.5))</f>
        <v>4900</v>
      </c>
      <c r="Q130" s="159">
        <f>IF(Input!Q54=0,0,INT((Input!Q54*8.33/100)+0.5))</f>
        <v>2450</v>
      </c>
      <c r="R130" s="159">
        <f>IF(Input!R54=0,0,INT((Input!R54*8.33/100)+0.5))</f>
        <v>5250</v>
      </c>
      <c r="S130" s="160">
        <f>IF(S129=0,0,S129*8.33/100)</f>
        <v>56482.8978</v>
      </c>
      <c r="T130" s="181"/>
      <c r="U130" s="154"/>
      <c r="V130" s="82"/>
      <c r="W130" s="3"/>
      <c r="X130" s="3"/>
      <c r="Y130" s="3"/>
      <c r="Z130" s="3"/>
    </row>
    <row r="131" ht="15.75" customHeight="1">
      <c r="A131" s="120">
        <v>38718.0</v>
      </c>
      <c r="B131" s="139" t="str">
        <f>Input!P$36</f>
        <v/>
      </c>
      <c r="C131" s="3"/>
      <c r="D131" s="185"/>
      <c r="E131" s="95"/>
      <c r="F131" s="156" t="s">
        <v>212</v>
      </c>
      <c r="G131" s="159" t="str">
        <f>IF(#REF!&lt;=$P$7,INT((#REF!*8.33%)+0.5),INT(($P$7*8.33%)+0.5))</f>
        <v>#REF!</v>
      </c>
      <c r="H131" s="159">
        <f>IF(Input!H54&lt;=$P$7,INT((Input!H54*8.33%)+0.5),INT(($P$7*8.33%)+0.5))</f>
        <v>541</v>
      </c>
      <c r="I131" s="159">
        <f>IF(Input!I54&lt;=$P$7,INT((Input!I54*8.33%)+0.5),INT(($P$7*8.33%)+0.5))</f>
        <v>541</v>
      </c>
      <c r="J131" s="159">
        <f>IF(Input!J54&lt;=$P$7,INT((Input!J54*8.33%)+0.5),INT(($P$7*8.33%)+0.5))</f>
        <v>541</v>
      </c>
      <c r="K131" s="159">
        <f>IF(Input!K54&lt;=$P$7,INT((Input!K54*8.33%)+0.5),INT(($P$7*8.33%)+0.5))</f>
        <v>541</v>
      </c>
      <c r="L131" s="159">
        <f>IF(Input!L54&lt;=$P$7,INT((Input!L54*8.33%)+0.5),INT(($P$7*8.33%)+0.5))</f>
        <v>541</v>
      </c>
      <c r="M131" s="186">
        <f>IF(Input!M54&lt;=$U$7,INT((Input!M54*8.33%)+0.5),INT(($U$7*8.33%)+0.5))</f>
        <v>1250</v>
      </c>
      <c r="N131" s="159">
        <f>IF(Input!N54&lt;=$U$7,INT((Input!N54*8.33%)+0.5),INT(($U$7*8.33%)+0.5))</f>
        <v>1250</v>
      </c>
      <c r="O131" s="159">
        <f>IF(Input!O54&lt;=$U$7,INT((Input!O54*8.33%)+0.5),INT(($U$7*8.33%)+0.5))</f>
        <v>1250</v>
      </c>
      <c r="P131" s="159">
        <f>IF(Input!P54&lt;=$U$7,INT((Input!P54*8.33%)+0.5),INT(($U$7*8.33%)+0.5))</f>
        <v>1250</v>
      </c>
      <c r="Q131" s="159">
        <f>IF(Input!Q54&lt;=$U$7,INT((Input!Q54*8.33%)+0.5),INT(($U$7*8.33%)+0.5))</f>
        <v>1250</v>
      </c>
      <c r="R131" s="159">
        <f>IF(Input!R54&lt;=$U$7,INT((Input!R54*8.33%)+0.5),INT(($U$7*8.33%)+0.5))</f>
        <v>1250</v>
      </c>
      <c r="S131" s="160">
        <f>IF(S129=0,0,$U$7*8.33%)</f>
        <v>1249.5</v>
      </c>
      <c r="T131" s="181"/>
      <c r="U131" s="154"/>
      <c r="V131" s="82"/>
      <c r="W131" s="3"/>
      <c r="X131" s="3"/>
      <c r="Y131" s="3"/>
      <c r="Z131" s="3"/>
    </row>
    <row r="132" ht="15.75" customHeight="1">
      <c r="A132" s="120">
        <v>38749.0</v>
      </c>
      <c r="B132" s="139" t="str">
        <f>Input!Q$36</f>
        <v/>
      </c>
      <c r="C132" s="3"/>
      <c r="D132" s="185"/>
      <c r="E132" s="95"/>
      <c r="F132" s="187" t="s">
        <v>219</v>
      </c>
      <c r="G132" s="188"/>
      <c r="H132" s="188"/>
      <c r="I132" s="188"/>
      <c r="J132" s="188"/>
      <c r="K132" s="188"/>
      <c r="L132" s="188"/>
      <c r="M132" s="188">
        <f>IF(Input!M54&lt;=$U$7,0,INT(((Input!M54-$U$7)*1.16%)+0.5))</f>
        <v>508</v>
      </c>
      <c r="N132" s="188">
        <f>IF(Input!N54&lt;=$U$7,0,INT(((Input!N54-$U$7)*1.16%)+0.5))</f>
        <v>555</v>
      </c>
      <c r="O132" s="188">
        <f>IF(Input!O54&lt;=$U$7,0,INT(((Input!O54-$U$7)*1.16%)+0.5))</f>
        <v>508</v>
      </c>
      <c r="P132" s="188">
        <f>IF(Input!P54&lt;=$U$7,0,INT(((Input!P54-$U$7)*1.16%)+0.5))</f>
        <v>508</v>
      </c>
      <c r="Q132" s="188">
        <f>IF(Input!Q54&lt;=$U$7,0,INT(((Input!Q54-$U$7)*1.16%)+0.5))</f>
        <v>167</v>
      </c>
      <c r="R132" s="188">
        <f>IF(Input!R54&lt;=$U$7,0,INT(((Input!R54-$U$7)*1.16%)+0.5))</f>
        <v>557</v>
      </c>
      <c r="S132" s="189">
        <f>SUM(M132:R132)</f>
        <v>2803</v>
      </c>
      <c r="T132" s="181"/>
      <c r="U132" s="154"/>
      <c r="V132" s="82"/>
      <c r="W132" s="3"/>
      <c r="X132" s="3"/>
      <c r="Y132" s="3"/>
      <c r="Z132" s="3"/>
    </row>
    <row r="133" ht="15.75" customHeight="1">
      <c r="A133" s="120">
        <v>38777.0</v>
      </c>
      <c r="B133" s="139" t="str">
        <f>Input!R$36</f>
        <v/>
      </c>
      <c r="C133" s="3"/>
      <c r="D133" s="185"/>
      <c r="E133" s="95"/>
      <c r="F133" s="156" t="s">
        <v>213</v>
      </c>
      <c r="G133" s="160" t="str">
        <f t="shared" ref="G133:R133" si="78">IF(G130-G131&lt;=0,0,G130-G131)</f>
        <v>#REF!</v>
      </c>
      <c r="H133" s="160">
        <f t="shared" si="78"/>
        <v>4055</v>
      </c>
      <c r="I133" s="160">
        <f t="shared" si="78"/>
        <v>4055</v>
      </c>
      <c r="J133" s="160">
        <f t="shared" si="78"/>
        <v>4194</v>
      </c>
      <c r="K133" s="159">
        <f t="shared" si="78"/>
        <v>4194</v>
      </c>
      <c r="L133" s="159">
        <f t="shared" si="78"/>
        <v>4359</v>
      </c>
      <c r="M133" s="186">
        <f t="shared" si="78"/>
        <v>3650</v>
      </c>
      <c r="N133" s="160">
        <f t="shared" si="78"/>
        <v>3982</v>
      </c>
      <c r="O133" s="160">
        <f t="shared" si="78"/>
        <v>3650</v>
      </c>
      <c r="P133" s="160">
        <f t="shared" si="78"/>
        <v>3650</v>
      </c>
      <c r="Q133" s="160">
        <f t="shared" si="78"/>
        <v>1200</v>
      </c>
      <c r="R133" s="160">
        <f t="shared" si="78"/>
        <v>4000</v>
      </c>
      <c r="S133" s="160">
        <f>S130-S131+S132</f>
        <v>58036.3978</v>
      </c>
      <c r="T133" s="181"/>
      <c r="U133" s="154"/>
      <c r="V133" s="82"/>
      <c r="W133" s="3"/>
      <c r="X133" s="3"/>
      <c r="Y133" s="3"/>
      <c r="Z133" s="3"/>
    </row>
    <row r="134" ht="15.75" customHeight="1">
      <c r="A134" s="120">
        <v>38808.0</v>
      </c>
      <c r="B134" s="139" t="str">
        <f>Input!G$38</f>
        <v/>
      </c>
      <c r="C134" s="3"/>
      <c r="D134" s="185"/>
      <c r="E134" s="161" t="s">
        <v>214</v>
      </c>
      <c r="F134" s="156" t="s">
        <v>215</v>
      </c>
      <c r="G134" s="160" t="str">
        <f>IF(G129=0,0,IF($T$11&lt;=Input!G53,0,R126+R127+U127))</f>
        <v>#REF!</v>
      </c>
      <c r="H134" s="160" t="str">
        <f>IF(H129=0,0,IF($T$11&lt;=Input!H53,0,G133+G134))</f>
        <v>#REF!</v>
      </c>
      <c r="I134" s="160" t="str">
        <f>IF(I129=0,0,IF($T$11&lt;=Input!I53,0,H133+H134))</f>
        <v>#REF!</v>
      </c>
      <c r="J134" s="160" t="str">
        <f>IF(J129=0,0,IF($T$11&lt;=Input!J53,0,I133+I134))</f>
        <v>#REF!</v>
      </c>
      <c r="K134" s="159" t="str">
        <f>IF(K129=0,0,IF($T$11&lt;=Input!K53,0,J133+J134))</f>
        <v>#REF!</v>
      </c>
      <c r="L134" s="159" t="str">
        <f>IF(L129=0,0,IF($T$11&lt;=Input!L53,0,K133+K134))</f>
        <v>#REF!</v>
      </c>
      <c r="M134" s="186" t="str">
        <f>IF(M129=0,0,IF($T$11&lt;=Input!M53,0,L133+L134))</f>
        <v>#REF!</v>
      </c>
      <c r="N134" s="160" t="str">
        <f>IF(N129=0,0,IF($T$11&lt;=Input!N53,0,M133+M134))</f>
        <v>#REF!</v>
      </c>
      <c r="O134" s="160" t="str">
        <f>IF(O129=0,0,IF($T$11&lt;=Input!O53,0,N133+N134))</f>
        <v>#REF!</v>
      </c>
      <c r="P134" s="160" t="str">
        <f>IF(P129=0,0,IF($T$11&lt;=Input!P53,0,O133+O134))</f>
        <v>#REF!</v>
      </c>
      <c r="Q134" s="160" t="str">
        <f>IF(Q129=0,0,IF($T$11&lt;=Input!Q53,0,P133+P134))</f>
        <v>#REF!</v>
      </c>
      <c r="R134" s="160" t="str">
        <f>IF(R129=0,0,IF($T$11&lt;=Input!R53,0,Q133+Q134))</f>
        <v>#REF!</v>
      </c>
      <c r="S134" s="115"/>
      <c r="T134" s="162" t="str">
        <f>SUM(G133:R133)</f>
        <v>#REF!</v>
      </c>
      <c r="U134" s="160" t="str">
        <f>SUM(G135:R135)</f>
        <v>#REF!</v>
      </c>
      <c r="V134" s="163" t="str">
        <f>SUM(T134,U134)</f>
        <v>#REF!</v>
      </c>
      <c r="W134" s="3"/>
      <c r="X134" s="3"/>
      <c r="Y134" s="3"/>
      <c r="Z134" s="3"/>
    </row>
    <row r="135" ht="15.75" customHeight="1">
      <c r="A135" s="120">
        <v>38838.0</v>
      </c>
      <c r="B135" s="139" t="str">
        <f>Input!H$38</f>
        <v/>
      </c>
      <c r="C135" s="3"/>
      <c r="D135" s="185"/>
      <c r="E135" s="164">
        <v>0.0875</v>
      </c>
      <c r="F135" s="165" t="s">
        <v>216</v>
      </c>
      <c r="G135" s="97" t="str">
        <f t="shared" ref="G135:R135" si="79">G134/12*$E135</f>
        <v>#REF!</v>
      </c>
      <c r="H135" s="160" t="str">
        <f t="shared" si="79"/>
        <v>#REF!</v>
      </c>
      <c r="I135" s="160" t="str">
        <f t="shared" si="79"/>
        <v>#REF!</v>
      </c>
      <c r="J135" s="160" t="str">
        <f t="shared" si="79"/>
        <v>#REF!</v>
      </c>
      <c r="K135" s="159" t="str">
        <f t="shared" si="79"/>
        <v>#REF!</v>
      </c>
      <c r="L135" s="159" t="str">
        <f t="shared" si="79"/>
        <v>#REF!</v>
      </c>
      <c r="M135" s="186" t="str">
        <f t="shared" si="79"/>
        <v>#REF!</v>
      </c>
      <c r="N135" s="160" t="str">
        <f t="shared" si="79"/>
        <v>#REF!</v>
      </c>
      <c r="O135" s="160" t="str">
        <f t="shared" si="79"/>
        <v>#REF!</v>
      </c>
      <c r="P135" s="160" t="str">
        <f t="shared" si="79"/>
        <v>#REF!</v>
      </c>
      <c r="Q135" s="160" t="str">
        <f t="shared" si="79"/>
        <v>#REF!</v>
      </c>
      <c r="R135" s="160" t="str">
        <f t="shared" si="79"/>
        <v>#REF!</v>
      </c>
      <c r="S135" s="115"/>
      <c r="T135" s="168" t="str">
        <f t="shared" ref="T135:V135" si="80">SUM(T19,T25,T31,T37,T43,T49,T55,T61,T67,T73,T79,T85,T91,T97,T103,T109,T115,T121,T127,T134)</f>
        <v>#REF!</v>
      </c>
      <c r="U135" s="169" t="str">
        <f t="shared" si="80"/>
        <v>#REF!</v>
      </c>
      <c r="V135" s="170" t="str">
        <f t="shared" si="80"/>
        <v>#REF!</v>
      </c>
      <c r="W135" s="3"/>
      <c r="X135" s="3"/>
      <c r="Y135" s="3"/>
      <c r="Z135" s="3"/>
    </row>
    <row r="136" ht="15.75" customHeight="1">
      <c r="A136" s="120">
        <v>38869.0</v>
      </c>
      <c r="B136" s="139" t="str">
        <f>Input!I$38</f>
        <v/>
      </c>
      <c r="C136" s="3"/>
      <c r="D136" s="183">
        <v>21.0</v>
      </c>
      <c r="E136" s="161" t="s">
        <v>41</v>
      </c>
      <c r="F136" s="155" t="s">
        <v>210</v>
      </c>
      <c r="G136" s="171">
        <v>42095.0</v>
      </c>
      <c r="H136" s="171">
        <v>42125.0</v>
      </c>
      <c r="I136" s="171">
        <v>42156.0</v>
      </c>
      <c r="J136" s="171">
        <v>42186.0</v>
      </c>
      <c r="K136" s="171">
        <v>42217.0</v>
      </c>
      <c r="L136" s="171">
        <v>42248.0</v>
      </c>
      <c r="M136" s="171">
        <v>42278.0</v>
      </c>
      <c r="N136" s="171">
        <v>42309.0</v>
      </c>
      <c r="O136" s="171">
        <v>42339.0</v>
      </c>
      <c r="P136" s="171">
        <v>42370.0</v>
      </c>
      <c r="Q136" s="171">
        <v>42401.0</v>
      </c>
      <c r="R136" s="171">
        <v>42430.0</v>
      </c>
      <c r="S136" s="97">
        <f>SUM(Input!G56:R56)</f>
        <v>767718</v>
      </c>
      <c r="T136" s="190"/>
      <c r="U136" s="152"/>
      <c r="V136" s="191"/>
      <c r="W136" s="3"/>
      <c r="X136" s="3"/>
      <c r="Y136" s="3"/>
      <c r="Z136" s="3"/>
    </row>
    <row r="137" ht="15.75" customHeight="1">
      <c r="A137" s="120">
        <v>38899.0</v>
      </c>
      <c r="B137" s="139" t="str">
        <f>Input!J$38</f>
        <v/>
      </c>
      <c r="C137" s="3"/>
      <c r="D137" s="185"/>
      <c r="E137" s="161"/>
      <c r="F137" s="156" t="s">
        <v>211</v>
      </c>
      <c r="G137" s="159">
        <f>IF(Input!G56=0,0,INT((Input!G56*8.33/100)+0.5))</f>
        <v>5408</v>
      </c>
      <c r="H137" s="159">
        <f>IF(Input!H56=0,0,INT((Input!H56*8.33/100)+0.5))</f>
        <v>5043</v>
      </c>
      <c r="I137" s="159">
        <f>IF(Input!I56=0,0,INT((Input!I56*8.33/100)+0.5))</f>
        <v>5043</v>
      </c>
      <c r="J137" s="159">
        <f>IF(Input!J56=0,0,INT((Input!J56*8.33/100)+0.5))</f>
        <v>5195</v>
      </c>
      <c r="K137" s="159">
        <f>IF(Input!K56=0,0,INT((Input!K56*8.33/100)+0.5))</f>
        <v>5195</v>
      </c>
      <c r="L137" s="159">
        <f>IF(Input!L56=0,0,INT((Input!L56*8.33/100)+0.5))</f>
        <v>5341</v>
      </c>
      <c r="M137" s="159">
        <f>IF(Input!M56=0,0,INT((Input!M56*8.33/100)+0.5))</f>
        <v>5634</v>
      </c>
      <c r="N137" s="159">
        <f>IF(Input!N56=0,0,INT((Input!N56*8.33/100)+0.5))</f>
        <v>5341</v>
      </c>
      <c r="O137" s="159">
        <f>IF(Input!O56=0,0,INT((Input!O56*8.33/100)+0.5))</f>
        <v>5436</v>
      </c>
      <c r="P137" s="159">
        <f>IF(Input!P56=0,0,INT((Input!P56*8.33/100)+0.5))</f>
        <v>5431</v>
      </c>
      <c r="Q137" s="159">
        <f>IF(Input!Q56=0,0,INT((Input!Q56*8.33/100)+0.5))</f>
        <v>5441</v>
      </c>
      <c r="R137" s="159">
        <f>IF(Input!R56=0,0,INT((Input!R56*8.33/100)+0.5))</f>
        <v>5441</v>
      </c>
      <c r="S137" s="160">
        <f>IF(S136=0,0,S136*8.33/100)</f>
        <v>63950.9094</v>
      </c>
      <c r="T137" s="153"/>
      <c r="U137" s="151"/>
      <c r="V137" s="83"/>
      <c r="W137" s="3"/>
      <c r="X137" s="3"/>
      <c r="Y137" s="3"/>
      <c r="Z137" s="3"/>
    </row>
    <row r="138" ht="15.75" customHeight="1">
      <c r="A138" s="120">
        <v>38930.0</v>
      </c>
      <c r="B138" s="139" t="str">
        <f>Input!K$38</f>
        <v/>
      </c>
      <c r="C138" s="3"/>
      <c r="D138" s="185"/>
      <c r="E138" s="161"/>
      <c r="F138" s="156" t="s">
        <v>212</v>
      </c>
      <c r="G138" s="159">
        <f>IF(Input!G56&lt;=$U$7,INT((Input!G56*8.33%)+0.5),INT(($U$7*8.33%)+0.5))</f>
        <v>1250</v>
      </c>
      <c r="H138" s="159">
        <f>IF(Input!H56&lt;=$U$7,INT((Input!H56*8.33%)+0.5),INT(($U$7*8.33%)+0.5))</f>
        <v>1250</v>
      </c>
      <c r="I138" s="159">
        <f>IF(Input!I56&lt;=$U$7,INT((Input!I56*8.33%)+0.5),INT(($U$7*8.33%)+0.5))</f>
        <v>1250</v>
      </c>
      <c r="J138" s="159">
        <f>IF(Input!J56&lt;=$U$7,INT((Input!J56*8.33%)+0.5),INT(($U$7*8.33%)+0.5))</f>
        <v>1250</v>
      </c>
      <c r="K138" s="159">
        <f>IF(Input!K56&lt;=$U$7,INT((Input!K56*8.33%)+0.5),INT(($U$7*8.33%)+0.5))</f>
        <v>1250</v>
      </c>
      <c r="L138" s="159">
        <f>IF(Input!L56&lt;=$U$7,INT((Input!L56*8.33%)+0.5),INT(($U$7*8.33%)+0.5))</f>
        <v>1250</v>
      </c>
      <c r="M138" s="159">
        <f>IF(Input!M56&lt;=$U$7,INT((Input!M56*8.33%)+0.5),INT(($U$7*8.33%)+0.5))</f>
        <v>1250</v>
      </c>
      <c r="N138" s="159">
        <f>IF(Input!N56&lt;=$U$7,INT((Input!N56*8.33%)+0.5),INT(($U$7*8.33%)+0.5))</f>
        <v>1250</v>
      </c>
      <c r="O138" s="159">
        <f>IF(Input!O56&lt;=$U$7,INT((Input!O56*8.33%)+0.5),INT(($U$7*8.33%)+0.5))</f>
        <v>1250</v>
      </c>
      <c r="P138" s="159">
        <f>IF(Input!P56&lt;=$U$7,INT((Input!P56*8.33%)+0.5),INT(($U$7*8.33%)+0.5))</f>
        <v>1250</v>
      </c>
      <c r="Q138" s="159">
        <f>IF(Input!Q56&lt;=$U$7,INT((Input!Q56*8.33%)+0.5),INT(($U$7*8.33%)+0.5))</f>
        <v>1250</v>
      </c>
      <c r="R138" s="159">
        <f>IF(Input!R56&lt;=$U$7,INT((Input!R56*8.33%)+0.5),INT(($U$7*8.33%)+0.5))</f>
        <v>1250</v>
      </c>
      <c r="S138" s="160">
        <f>IF(S136=0,0,$U$7*8.33%)</f>
        <v>1249.5</v>
      </c>
      <c r="T138" s="153"/>
      <c r="U138" s="151"/>
      <c r="V138" s="83"/>
      <c r="W138" s="3"/>
      <c r="X138" s="3"/>
      <c r="Y138" s="3"/>
      <c r="Z138" s="3"/>
    </row>
    <row r="139" ht="15.75" customHeight="1">
      <c r="A139" s="120">
        <v>38961.0</v>
      </c>
      <c r="B139" s="139" t="str">
        <f>Input!L$38</f>
        <v/>
      </c>
      <c r="C139" s="3"/>
      <c r="D139" s="185"/>
      <c r="E139" s="161"/>
      <c r="F139" s="187" t="s">
        <v>219</v>
      </c>
      <c r="G139" s="188">
        <f>IF(Input!G56&lt;=$U$7,0,INT(((Input!G56-$U$7)*1.16%)+0.5))</f>
        <v>579</v>
      </c>
      <c r="H139" s="188">
        <f>IF(Input!H56&lt;=$U$7,0,INT(((Input!H56-$U$7)*1.16%)+0.5))</f>
        <v>528</v>
      </c>
      <c r="I139" s="188">
        <f>IF(Input!I56&lt;=$U$7,0,INT(((Input!I56-$U$7)*1.16%)+0.5))</f>
        <v>528</v>
      </c>
      <c r="J139" s="188">
        <f>IF(Input!J56&lt;=$U$7,0,INT(((Input!J56-$U$7)*1.16%)+0.5))</f>
        <v>549</v>
      </c>
      <c r="K139" s="188">
        <f>IF(Input!K56&lt;=$U$7,0,INT(((Input!K56-$U$7)*1.16%)+0.5))</f>
        <v>549</v>
      </c>
      <c r="L139" s="188">
        <f>IF(Input!L56&lt;=$U$7,0,INT(((Input!L56-$U$7)*1.16%)+0.5))</f>
        <v>570</v>
      </c>
      <c r="M139" s="188">
        <f>IF(Input!M56&lt;=$U$7,0,INT(((Input!M56-$U$7)*1.16%)+0.5))</f>
        <v>611</v>
      </c>
      <c r="N139" s="188">
        <f>IF(Input!N56&lt;=$U$7,0,INT(((Input!N56-$U$7)*1.16%)+0.5))</f>
        <v>570</v>
      </c>
      <c r="O139" s="188">
        <f>IF(Input!O56&lt;=$U$7,0,INT(((Input!O56-$U$7)*1.16%)+0.5))</f>
        <v>583</v>
      </c>
      <c r="P139" s="188">
        <f>IF(Input!P56&lt;=$U$7,0,INT(((Input!P56-$U$7)*1.16%)+0.5))</f>
        <v>582</v>
      </c>
      <c r="Q139" s="188">
        <f>IF(Input!Q56&lt;=$U$7,0,INT(((Input!Q56-$U$7)*1.16%)+0.5))</f>
        <v>584</v>
      </c>
      <c r="R139" s="188">
        <f>IF(Input!R56&lt;=$U$7,0,INT(((Input!R56-$U$7)*1.16%)+0.5))</f>
        <v>584</v>
      </c>
      <c r="S139" s="189">
        <f>SUM(G139:R139)</f>
        <v>6817</v>
      </c>
      <c r="T139" s="153"/>
      <c r="U139" s="151"/>
      <c r="V139" s="83"/>
      <c r="W139" s="3"/>
      <c r="X139" s="3"/>
      <c r="Y139" s="3"/>
      <c r="Z139" s="3"/>
    </row>
    <row r="140" ht="15.75" customHeight="1">
      <c r="A140" s="120">
        <v>38991.0</v>
      </c>
      <c r="B140" s="139" t="str">
        <f>Input!M$38</f>
        <v/>
      </c>
      <c r="C140" s="3"/>
      <c r="D140" s="185"/>
      <c r="E140" s="161"/>
      <c r="F140" s="156" t="s">
        <v>213</v>
      </c>
      <c r="G140" s="160">
        <f t="shared" ref="G140:R140" si="81">G137-G138</f>
        <v>4158</v>
      </c>
      <c r="H140" s="160">
        <f t="shared" si="81"/>
        <v>3793</v>
      </c>
      <c r="I140" s="160">
        <f t="shared" si="81"/>
        <v>3793</v>
      </c>
      <c r="J140" s="160">
        <f t="shared" si="81"/>
        <v>3945</v>
      </c>
      <c r="K140" s="160">
        <f t="shared" si="81"/>
        <v>3945</v>
      </c>
      <c r="L140" s="160">
        <f t="shared" si="81"/>
        <v>4091</v>
      </c>
      <c r="M140" s="160">
        <f t="shared" si="81"/>
        <v>4384</v>
      </c>
      <c r="N140" s="160">
        <f t="shared" si="81"/>
        <v>4091</v>
      </c>
      <c r="O140" s="160">
        <f t="shared" si="81"/>
        <v>4186</v>
      </c>
      <c r="P140" s="160">
        <f t="shared" si="81"/>
        <v>4181</v>
      </c>
      <c r="Q140" s="160">
        <f t="shared" si="81"/>
        <v>4191</v>
      </c>
      <c r="R140" s="160">
        <f t="shared" si="81"/>
        <v>4191</v>
      </c>
      <c r="S140" s="160">
        <f>S137-S138+S139</f>
        <v>69518.4094</v>
      </c>
      <c r="T140" s="153"/>
      <c r="U140" s="151"/>
      <c r="V140" s="83"/>
      <c r="W140" s="3"/>
      <c r="X140" s="3"/>
      <c r="Y140" s="3"/>
      <c r="Z140" s="3"/>
    </row>
    <row r="141" ht="15.75" customHeight="1">
      <c r="A141" s="120">
        <v>39022.0</v>
      </c>
      <c r="B141" s="139" t="str">
        <f>Input!N$38</f>
        <v/>
      </c>
      <c r="C141" s="3"/>
      <c r="D141" s="185"/>
      <c r="E141" s="161" t="s">
        <v>214</v>
      </c>
      <c r="F141" s="156" t="s">
        <v>215</v>
      </c>
      <c r="G141" s="160" t="str">
        <f>IF(G136=0,0,IF($T$11&lt;=Input!G55,0,R133+R134+U134))</f>
        <v>#REF!</v>
      </c>
      <c r="H141" s="160" t="str">
        <f>IF(H136=0,0,IF($T$11&lt;=Input!H55,0,G140+G141))</f>
        <v>#REF!</v>
      </c>
      <c r="I141" s="160" t="str">
        <f>IF(I136=0,0,IF($T$11&lt;=Input!I55,0,H140+H141))</f>
        <v>#REF!</v>
      </c>
      <c r="J141" s="160" t="str">
        <f>IF(J136=0,0,IF($T$11&lt;=Input!J55,0,I140+I141))</f>
        <v>#REF!</v>
      </c>
      <c r="K141" s="160" t="str">
        <f>IF(K136=0,0,IF($T$11&lt;=Input!K55,0,J140+J141))</f>
        <v>#REF!</v>
      </c>
      <c r="L141" s="160" t="str">
        <f>IF(L136=0,0,IF($T$11&lt;=Input!L55,0,K140+K141))</f>
        <v>#REF!</v>
      </c>
      <c r="M141" s="160" t="str">
        <f>IF(M136=0,0,IF($T$11&lt;=Input!M55,0,L140+L141))</f>
        <v>#REF!</v>
      </c>
      <c r="N141" s="160" t="str">
        <f>IF(N136=0,0,IF($T$11&lt;=Input!N55,0,M140+M141))</f>
        <v>#REF!</v>
      </c>
      <c r="O141" s="160" t="str">
        <f>IF(O136=0,0,IF($T$11&lt;=Input!O55,0,N140+N141))</f>
        <v>#REF!</v>
      </c>
      <c r="P141" s="160" t="str">
        <f>IF(P136=0,0,IF($T$11&lt;=Input!P55,0,O140+O141))</f>
        <v>#REF!</v>
      </c>
      <c r="Q141" s="160" t="str">
        <f>IF(Q136=0,0,IF($T$11&lt;=Input!Q55,0,P140+P141))</f>
        <v>#REF!</v>
      </c>
      <c r="R141" s="160" t="str">
        <f>IF(R136=0,0,IF($T$11&lt;=Input!R55,0,Q140+Q141))</f>
        <v>#REF!</v>
      </c>
      <c r="S141" s="115"/>
      <c r="T141" s="162">
        <f>SUM(G140:R140)</f>
        <v>48949</v>
      </c>
      <c r="U141" s="160" t="str">
        <f>SUM(G142:R142)</f>
        <v>#REF!</v>
      </c>
      <c r="V141" s="160" t="str">
        <f>SUM(T141,U141)</f>
        <v>#REF!</v>
      </c>
      <c r="W141" s="3"/>
      <c r="X141" s="3"/>
      <c r="Y141" s="3"/>
      <c r="Z141" s="3"/>
    </row>
    <row r="142" ht="15.75" customHeight="1">
      <c r="A142" s="120">
        <v>39052.0</v>
      </c>
      <c r="B142" s="139" t="str">
        <f>Input!O$38</f>
        <v/>
      </c>
      <c r="C142" s="3"/>
      <c r="D142" s="185"/>
      <c r="E142" s="164">
        <v>0.088</v>
      </c>
      <c r="F142" s="165" t="s">
        <v>216</v>
      </c>
      <c r="G142" s="97" t="str">
        <f t="shared" ref="G142:R142" si="82">G141/12*$E142</f>
        <v>#REF!</v>
      </c>
      <c r="H142" s="160" t="str">
        <f t="shared" si="82"/>
        <v>#REF!</v>
      </c>
      <c r="I142" s="160" t="str">
        <f t="shared" si="82"/>
        <v>#REF!</v>
      </c>
      <c r="J142" s="160" t="str">
        <f t="shared" si="82"/>
        <v>#REF!</v>
      </c>
      <c r="K142" s="160" t="str">
        <f t="shared" si="82"/>
        <v>#REF!</v>
      </c>
      <c r="L142" s="160" t="str">
        <f t="shared" si="82"/>
        <v>#REF!</v>
      </c>
      <c r="M142" s="160" t="str">
        <f t="shared" si="82"/>
        <v>#REF!</v>
      </c>
      <c r="N142" s="160" t="str">
        <f t="shared" si="82"/>
        <v>#REF!</v>
      </c>
      <c r="O142" s="160" t="str">
        <f t="shared" si="82"/>
        <v>#REF!</v>
      </c>
      <c r="P142" s="160" t="str">
        <f t="shared" si="82"/>
        <v>#REF!</v>
      </c>
      <c r="Q142" s="160" t="str">
        <f t="shared" si="82"/>
        <v>#REF!</v>
      </c>
      <c r="R142" s="160" t="str">
        <f t="shared" si="82"/>
        <v>#REF!</v>
      </c>
      <c r="S142" s="115"/>
      <c r="T142" s="168" t="str">
        <f t="shared" ref="T142:V142" si="83">SUM(T19,T25,T31,T37,T43,T49,T55,T61,T67,T73,T79,T85,T91,T97,T103,T109,T115,T121,T127,T134,T141)</f>
        <v>#REF!</v>
      </c>
      <c r="U142" s="169" t="str">
        <f t="shared" si="83"/>
        <v>#REF!</v>
      </c>
      <c r="V142" s="169" t="str">
        <f t="shared" si="83"/>
        <v>#REF!</v>
      </c>
      <c r="W142" s="3"/>
      <c r="X142" s="3"/>
      <c r="Y142" s="3"/>
      <c r="Z142" s="3"/>
    </row>
    <row r="143" ht="15.75" customHeight="1">
      <c r="A143" s="120">
        <v>39083.0</v>
      </c>
      <c r="B143" s="139" t="str">
        <f>Input!P$38</f>
        <v/>
      </c>
      <c r="C143" s="3"/>
      <c r="D143" s="183">
        <v>22.0</v>
      </c>
      <c r="E143" s="161" t="s">
        <v>42</v>
      </c>
      <c r="F143" s="155" t="s">
        <v>210</v>
      </c>
      <c r="G143" s="192">
        <v>42461.0</v>
      </c>
      <c r="H143" s="193">
        <v>42491.0</v>
      </c>
      <c r="I143" s="193">
        <v>42522.0</v>
      </c>
      <c r="J143" s="193">
        <v>42552.0</v>
      </c>
      <c r="K143" s="193">
        <v>42583.0</v>
      </c>
      <c r="L143" s="193">
        <v>42614.0</v>
      </c>
      <c r="M143" s="193">
        <v>42644.0</v>
      </c>
      <c r="N143" s="193">
        <v>42675.0</v>
      </c>
      <c r="O143" s="193">
        <v>42705.0</v>
      </c>
      <c r="P143" s="193">
        <v>42736.0</v>
      </c>
      <c r="Q143" s="193">
        <v>42767.0</v>
      </c>
      <c r="R143" s="193">
        <v>42795.0</v>
      </c>
      <c r="S143" s="97">
        <f>SUM(Input!G58:R58)</f>
        <v>882263</v>
      </c>
      <c r="T143" s="153"/>
      <c r="U143" s="151"/>
      <c r="V143" s="151"/>
      <c r="W143" s="3"/>
      <c r="X143" s="3"/>
      <c r="Y143" s="3"/>
      <c r="Z143" s="3"/>
    </row>
    <row r="144" ht="15.75" customHeight="1">
      <c r="A144" s="120">
        <v>39114.0</v>
      </c>
      <c r="B144" s="139" t="str">
        <f>Input!Q$38</f>
        <v/>
      </c>
      <c r="C144" s="3"/>
      <c r="D144" s="185"/>
      <c r="E144" s="161"/>
      <c r="F144" s="156" t="s">
        <v>211</v>
      </c>
      <c r="G144" s="159">
        <f>IF(Input!G58=0,0,INT((Input!G58*8.33/100)+0.5))</f>
        <v>5518</v>
      </c>
      <c r="H144" s="159">
        <f>IF(Input!H58=0,0,INT((Input!H58*8.33/100)+0.5))</f>
        <v>6022</v>
      </c>
      <c r="I144" s="159">
        <f>IF(Input!I58=0,0,INT((Input!I58*8.33/100)+0.5))</f>
        <v>5583</v>
      </c>
      <c r="J144" s="159">
        <f>IF(Input!J58=0,0,INT((Input!J58*8.33/100)+0.5))</f>
        <v>5753</v>
      </c>
      <c r="K144" s="159">
        <f>IF(Input!K58=0,0,INT((Input!K58*8.33/100)+0.5))</f>
        <v>5905</v>
      </c>
      <c r="L144" s="159">
        <f>IF(Input!M58=0,0,INT((Input!M58*8.33/100)+0.5))</f>
        <v>6138</v>
      </c>
      <c r="M144" s="159">
        <f>IF(Input!N58=0,0,INT((Input!N58*8.33/100)+0.5))</f>
        <v>6437</v>
      </c>
      <c r="N144" s="159" t="str">
        <f>IF(#REF!=0,0,INT((#REF!*8.33/100)+0.5))</f>
        <v>#REF!</v>
      </c>
      <c r="O144" s="159">
        <f>IF(Input!O58=0,0,INT((Input!O58*8.33/100)+0.5))</f>
        <v>6973</v>
      </c>
      <c r="P144" s="159">
        <f>IF(Input!P58=0,0,INT((Input!P58*8.33/100)+0.5))</f>
        <v>6236</v>
      </c>
      <c r="Q144" s="159">
        <f>IF(Input!Q58=0,0,INT((Input!Q58*8.33/100)+0.5))</f>
        <v>6236</v>
      </c>
      <c r="R144" s="159">
        <f>IF(Input!R58=0,0,INT((Input!R58*8.33/100)+0.5))</f>
        <v>6559</v>
      </c>
      <c r="S144" s="160">
        <f>IF(S143=0,0,S143*8.33/100)</f>
        <v>73492.5079</v>
      </c>
      <c r="T144" s="153"/>
      <c r="U144" s="151"/>
      <c r="V144" s="151"/>
      <c r="W144" s="3"/>
      <c r="X144" s="3"/>
      <c r="Y144" s="3"/>
      <c r="Z144" s="3"/>
    </row>
    <row r="145" ht="15.75" customHeight="1">
      <c r="A145" s="120">
        <v>39142.0</v>
      </c>
      <c r="B145" s="139" t="str">
        <f>Input!R$38</f>
        <v/>
      </c>
      <c r="C145" s="3"/>
      <c r="D145" s="185"/>
      <c r="E145" s="161"/>
      <c r="F145" s="156" t="s">
        <v>212</v>
      </c>
      <c r="G145" s="159">
        <f>IF(Input!G58&lt;=$U$7,INT((Input!G58*8.33%)+0.5),INT(($U$7*8.33%)+0.5))</f>
        <v>1250</v>
      </c>
      <c r="H145" s="159">
        <f>IF(Input!H58&lt;=$U$7,INT((Input!H58*8.33%)+0.5),INT(($U$7*8.33%)+0.5))</f>
        <v>1250</v>
      </c>
      <c r="I145" s="159">
        <f>IF(Input!I58&lt;=$U$7,INT((Input!I58*8.33%)+0.5),INT(($U$7*8.33%)+0.5))</f>
        <v>1250</v>
      </c>
      <c r="J145" s="159">
        <f>IF(Input!J58&lt;=$U$7,INT((Input!J58*8.33%)+0.5),INT(($U$7*8.33%)+0.5))</f>
        <v>1250</v>
      </c>
      <c r="K145" s="159">
        <f>IF(Input!K58&lt;=$U$7,INT((Input!K58*8.33%)+0.5),INT(($U$7*8.33%)+0.5))</f>
        <v>1250</v>
      </c>
      <c r="L145" s="159">
        <f>IF(Input!M58&lt;=$U$7,INT((Input!M58*8.33%)+0.5),INT(($U$7*8.33%)+0.5))</f>
        <v>1250</v>
      </c>
      <c r="M145" s="159">
        <f>IF(Input!N58&lt;=$U$7,INT((Input!N58*8.33%)+0.5),INT(($U$7*8.33%)+0.5))</f>
        <v>1250</v>
      </c>
      <c r="N145" s="159" t="str">
        <f>IF(#REF!&lt;=$U$7,INT((#REF!*8.33%)+0.5),INT(($U$7*8.33%)+0.5))</f>
        <v>#REF!</v>
      </c>
      <c r="O145" s="159">
        <f>IF(Input!O58&lt;=$U$7,INT((Input!O58*8.33%)+0.5),INT(($U$7*8.33%)+0.5))</f>
        <v>1250</v>
      </c>
      <c r="P145" s="159">
        <f>IF(Input!P58&lt;=$U$7,INT((Input!P58*8.33%)+0.5),INT(($U$7*8.33%)+0.5))</f>
        <v>1250</v>
      </c>
      <c r="Q145" s="159">
        <f>IF(Input!Q58&lt;=$U$7,INT((Input!Q58*8.33%)+0.5),INT(($U$7*8.33%)+0.5))</f>
        <v>1250</v>
      </c>
      <c r="R145" s="159">
        <f>IF(Input!R58&lt;=$U$7,INT((Input!R58*8.33%)+0.5),INT(($U$7*8.33%)+0.5))</f>
        <v>1250</v>
      </c>
      <c r="S145" s="160">
        <f>IF(S143=0,0,$U$7*8.33%)</f>
        <v>1249.5</v>
      </c>
      <c r="T145" s="153"/>
      <c r="U145" s="151"/>
      <c r="V145" s="151"/>
      <c r="W145" s="3"/>
      <c r="X145" s="3"/>
      <c r="Y145" s="3"/>
      <c r="Z145" s="3"/>
    </row>
    <row r="146" ht="15.75" customHeight="1">
      <c r="A146" s="120">
        <v>39173.0</v>
      </c>
      <c r="B146" s="139" t="str">
        <f>Input!G$40</f>
        <v/>
      </c>
      <c r="C146" s="3"/>
      <c r="D146" s="185"/>
      <c r="E146" s="161"/>
      <c r="F146" s="187" t="s">
        <v>219</v>
      </c>
      <c r="G146" s="188">
        <f>IF(Input!G58&lt;=$U$7,0,INT(((Input!G58-$U$7)*1.16%)+0.5))</f>
        <v>594</v>
      </c>
      <c r="H146" s="188">
        <f>IF(Input!H58&lt;=$U$7,0,INT(((Input!H58-$U$7)*1.16%)+0.5))</f>
        <v>665</v>
      </c>
      <c r="I146" s="188">
        <f>IF(Input!I58&lt;=$U$7,0,INT(((Input!I58-$U$7)*1.16%)+0.5))</f>
        <v>603</v>
      </c>
      <c r="J146" s="188">
        <f>IF(Input!J58&lt;=$U$7,0,INT(((Input!J58-$U$7)*1.16%)+0.5))</f>
        <v>627</v>
      </c>
      <c r="K146" s="188">
        <f>IF(Input!K58&lt;=$U$7,0,INT(((Input!K58-$U$7)*1.16%)+0.5))</f>
        <v>648</v>
      </c>
      <c r="L146" s="188">
        <f>IF(Input!M58&lt;=$U$7,0,INT(((Input!M58-$U$7)*1.16%)+0.5))</f>
        <v>681</v>
      </c>
      <c r="M146" s="188">
        <f>IF(Input!N58&lt;=$U$7,0,INT(((Input!N58-$U$7)*1.16%)+0.5))</f>
        <v>722</v>
      </c>
      <c r="N146" s="188" t="str">
        <f>IF(#REF!&lt;=$U$7,0,INT(((#REF!-$U$7)*1.16%)+0.5))</f>
        <v>#REF!</v>
      </c>
      <c r="O146" s="188">
        <f>IF(Input!O58&lt;=$U$7,0,INT(((Input!O58-$U$7)*1.16%)+0.5))</f>
        <v>797</v>
      </c>
      <c r="P146" s="188">
        <f>IF(Input!P58&lt;=$U$7,0,INT(((Input!P58-$U$7)*1.16%)+0.5))</f>
        <v>694</v>
      </c>
      <c r="Q146" s="188">
        <f>IF(Input!Q58&lt;=$U$7,0,INT(((Input!Q58-$U$7)*1.16%)+0.5))</f>
        <v>694</v>
      </c>
      <c r="R146" s="188">
        <f>IF(Input!R58&lt;=$U$7,0,INT(((Input!R58-$U$7)*1.16%)+0.5))</f>
        <v>739</v>
      </c>
      <c r="S146" s="189" t="str">
        <f>SUM(G146:R146)</f>
        <v>#REF!</v>
      </c>
      <c r="T146" s="153"/>
      <c r="U146" s="151"/>
      <c r="V146" s="151"/>
      <c r="W146" s="3"/>
      <c r="X146" s="3"/>
      <c r="Y146" s="3"/>
      <c r="Z146" s="3"/>
    </row>
    <row r="147" ht="15.75" customHeight="1">
      <c r="A147" s="120">
        <v>39203.0</v>
      </c>
      <c r="B147" s="139" t="str">
        <f>Input!H$40</f>
        <v/>
      </c>
      <c r="C147" s="3"/>
      <c r="D147" s="185"/>
      <c r="E147" s="161"/>
      <c r="F147" s="156" t="s">
        <v>213</v>
      </c>
      <c r="G147" s="160">
        <f t="shared" ref="G147:R147" si="84">IF(G144-G145&lt;=0,0,G144-G145)</f>
        <v>4268</v>
      </c>
      <c r="H147" s="160">
        <f t="shared" si="84"/>
        <v>4772</v>
      </c>
      <c r="I147" s="160">
        <f t="shared" si="84"/>
        <v>4333</v>
      </c>
      <c r="J147" s="160">
        <f t="shared" si="84"/>
        <v>4503</v>
      </c>
      <c r="K147" s="160">
        <f t="shared" si="84"/>
        <v>4655</v>
      </c>
      <c r="L147" s="160">
        <f t="shared" si="84"/>
        <v>4888</v>
      </c>
      <c r="M147" s="160">
        <f t="shared" si="84"/>
        <v>5187</v>
      </c>
      <c r="N147" s="160" t="str">
        <f t="shared" si="84"/>
        <v>#REF!</v>
      </c>
      <c r="O147" s="160">
        <f t="shared" si="84"/>
        <v>5723</v>
      </c>
      <c r="P147" s="160">
        <f t="shared" si="84"/>
        <v>4986</v>
      </c>
      <c r="Q147" s="160">
        <f t="shared" si="84"/>
        <v>4986</v>
      </c>
      <c r="R147" s="160">
        <f t="shared" si="84"/>
        <v>5309</v>
      </c>
      <c r="S147" s="160" t="str">
        <f>S144-S145+S146</f>
        <v>#REF!</v>
      </c>
      <c r="T147" s="153"/>
      <c r="U147" s="151"/>
      <c r="V147" s="151"/>
      <c r="W147" s="3"/>
      <c r="X147" s="3"/>
      <c r="Y147" s="3"/>
      <c r="Z147" s="3"/>
    </row>
    <row r="148" ht="15.75" customHeight="1">
      <c r="A148" s="120">
        <v>39234.0</v>
      </c>
      <c r="B148" s="139" t="str">
        <f>Input!I$40</f>
        <v/>
      </c>
      <c r="C148" s="3"/>
      <c r="D148" s="185"/>
      <c r="E148" s="161" t="s">
        <v>214</v>
      </c>
      <c r="F148" s="156" t="s">
        <v>215</v>
      </c>
      <c r="G148" s="160" t="str">
        <f>IF(G143=0,0,IF($T$11&lt;=Input!G57,0,R140+R141+U141))</f>
        <v>#REF!</v>
      </c>
      <c r="H148" s="160" t="str">
        <f>IF(H143=0,0,IF($T$11&lt;=Input!H57,0,G147+G148))</f>
        <v>#REF!</v>
      </c>
      <c r="I148" s="160" t="str">
        <f>IF(I143=0,0,IF($T$11&lt;=Input!I57,0,H147+H148))</f>
        <v>#REF!</v>
      </c>
      <c r="J148" s="160" t="str">
        <f>IF(J143=0,0,IF($T$11&lt;=Input!J57,0,I147+I148))</f>
        <v>#REF!</v>
      </c>
      <c r="K148" s="160" t="str">
        <f>IF(K143=0,0,IF($T$11&lt;=Input!K57,0,J147+J148))</f>
        <v>#REF!</v>
      </c>
      <c r="L148" s="160" t="str">
        <f>IF(L143=0,0,IF($T$11&lt;=Input!L57,0,K147+K148))</f>
        <v>#REF!</v>
      </c>
      <c r="M148" s="160" t="str">
        <f>IF(M143=0,0,IF($T$11&lt;=Input!M57,0,L147+L148))</f>
        <v>#REF!</v>
      </c>
      <c r="N148" s="160" t="str">
        <f>IF(N143=0,0,IF($T$11&lt;=Input!N57,0,M147+M148))</f>
        <v>#REF!</v>
      </c>
      <c r="O148" s="160" t="str">
        <f>IF(O143=0,0,IF($T$11&lt;=Input!O57,0,N147+N148))</f>
        <v>#REF!</v>
      </c>
      <c r="P148" s="160" t="str">
        <f>IF(P143=0,0,IF($T$11&lt;=Input!P57,0,O147+O148))</f>
        <v>#REF!</v>
      </c>
      <c r="Q148" s="160" t="str">
        <f>IF(Q143=0,0,IF($T$11&lt;=Input!Q57,0,P147+P148))</f>
        <v>#REF!</v>
      </c>
      <c r="R148" s="160" t="str">
        <f>IF(R143=0,0,IF($T$11&lt;=Input!R57,0,Q147+Q148))</f>
        <v>#REF!</v>
      </c>
      <c r="S148" s="115"/>
      <c r="T148" s="162" t="str">
        <f>SUM(G147:R147)</f>
        <v>#REF!</v>
      </c>
      <c r="U148" s="160" t="str">
        <f>SUM(G149:R149)</f>
        <v>#REF!</v>
      </c>
      <c r="V148" s="160" t="str">
        <f>SUM(T148,U148)</f>
        <v>#REF!</v>
      </c>
      <c r="W148" s="3"/>
      <c r="X148" s="3"/>
      <c r="Y148" s="3"/>
      <c r="Z148" s="3"/>
    </row>
    <row r="149" ht="15.75" customHeight="1">
      <c r="A149" s="120">
        <v>39264.0</v>
      </c>
      <c r="B149" s="139" t="str">
        <f>Input!J$40</f>
        <v/>
      </c>
      <c r="C149" s="3"/>
      <c r="D149" s="185"/>
      <c r="E149" s="164">
        <v>0.0865</v>
      </c>
      <c r="F149" s="165" t="s">
        <v>216</v>
      </c>
      <c r="G149" s="97" t="str">
        <f t="shared" ref="G149:R149" si="85">G148/12*$E149</f>
        <v>#REF!</v>
      </c>
      <c r="H149" s="160" t="str">
        <f t="shared" si="85"/>
        <v>#REF!</v>
      </c>
      <c r="I149" s="160" t="str">
        <f t="shared" si="85"/>
        <v>#REF!</v>
      </c>
      <c r="J149" s="160" t="str">
        <f t="shared" si="85"/>
        <v>#REF!</v>
      </c>
      <c r="K149" s="160" t="str">
        <f t="shared" si="85"/>
        <v>#REF!</v>
      </c>
      <c r="L149" s="160" t="str">
        <f t="shared" si="85"/>
        <v>#REF!</v>
      </c>
      <c r="M149" s="160" t="str">
        <f t="shared" si="85"/>
        <v>#REF!</v>
      </c>
      <c r="N149" s="160" t="str">
        <f t="shared" si="85"/>
        <v>#REF!</v>
      </c>
      <c r="O149" s="160" t="str">
        <f t="shared" si="85"/>
        <v>#REF!</v>
      </c>
      <c r="P149" s="160" t="str">
        <f t="shared" si="85"/>
        <v>#REF!</v>
      </c>
      <c r="Q149" s="160" t="str">
        <f t="shared" si="85"/>
        <v>#REF!</v>
      </c>
      <c r="R149" s="160" t="str">
        <f t="shared" si="85"/>
        <v>#REF!</v>
      </c>
      <c r="S149" s="115"/>
      <c r="T149" s="168" t="str">
        <f t="shared" ref="T149:V149" si="86">SUM(T19,T25,T31,T37,T43,T49,T55,T61,T67,T73,T79,T85,T91,T97,T103,T109,T115,T121,T127,T134,T141,T148)</f>
        <v>#REF!</v>
      </c>
      <c r="U149" s="169" t="str">
        <f t="shared" si="86"/>
        <v>#REF!</v>
      </c>
      <c r="V149" s="169" t="str">
        <f t="shared" si="86"/>
        <v>#REF!</v>
      </c>
      <c r="W149" s="3"/>
      <c r="X149" s="3"/>
      <c r="Y149" s="3"/>
      <c r="Z149" s="3"/>
    </row>
    <row r="150" ht="15.75" customHeight="1">
      <c r="A150" s="120">
        <v>39295.0</v>
      </c>
      <c r="B150" s="139" t="str">
        <f>Input!K$40</f>
        <v/>
      </c>
      <c r="C150" s="3"/>
      <c r="D150" s="183">
        <v>23.0</v>
      </c>
      <c r="E150" s="161" t="s">
        <v>43</v>
      </c>
      <c r="F150" s="155" t="s">
        <v>210</v>
      </c>
      <c r="G150" s="171">
        <v>42826.0</v>
      </c>
      <c r="H150" s="171">
        <v>42856.0</v>
      </c>
      <c r="I150" s="171">
        <v>42887.0</v>
      </c>
      <c r="J150" s="171">
        <v>42917.0</v>
      </c>
      <c r="K150" s="171">
        <v>42948.0</v>
      </c>
      <c r="L150" s="171">
        <v>42979.0</v>
      </c>
      <c r="M150" s="171">
        <v>43009.0</v>
      </c>
      <c r="N150" s="171">
        <v>43040.0</v>
      </c>
      <c r="O150" s="171">
        <v>43070.0</v>
      </c>
      <c r="P150" s="171">
        <v>43101.0</v>
      </c>
      <c r="Q150" s="171">
        <v>43132.0</v>
      </c>
      <c r="R150" s="171">
        <v>43160.0</v>
      </c>
      <c r="S150" s="97">
        <f>SUM(Input!G60:R60)</f>
        <v>1154522</v>
      </c>
      <c r="T150" s="194"/>
      <c r="U150" s="195"/>
      <c r="V150" s="195"/>
      <c r="W150" s="3"/>
      <c r="X150" s="3"/>
      <c r="Y150" s="3"/>
      <c r="Z150" s="3"/>
    </row>
    <row r="151" ht="15.75" customHeight="1">
      <c r="A151" s="120">
        <v>39326.0</v>
      </c>
      <c r="B151" s="139" t="str">
        <f>Input!L$40</f>
        <v/>
      </c>
      <c r="C151" s="3"/>
      <c r="D151" s="185"/>
      <c r="E151" s="161"/>
      <c r="F151" s="156" t="s">
        <v>211</v>
      </c>
      <c r="G151" s="159">
        <f>IF(Input!G60=0,0,INT((Input!G60*8.33/100)+0.5))</f>
        <v>6344</v>
      </c>
      <c r="H151" s="159">
        <f>IF(Input!H60=0,0,INT((Input!H60*8.33/100)+0.5))</f>
        <v>6344</v>
      </c>
      <c r="I151" s="159">
        <f>IF(Input!I60=0,0,INT((Input!I60*8.33/100)+0.5))</f>
        <v>15515</v>
      </c>
      <c r="J151" s="159">
        <f>IF(Input!J60=0,0,INT((Input!J60*8.33/100)+0.5))</f>
        <v>7433</v>
      </c>
      <c r="K151" s="159">
        <f>IF(Input!K60=0,0,INT((Input!K60*8.33/100)+0.5))</f>
        <v>7433</v>
      </c>
      <c r="L151" s="159">
        <f>IF(Input!L60=0,0,INT((Input!L60*8.33/100)+0.5))</f>
        <v>7647</v>
      </c>
      <c r="M151" s="159">
        <f>IF(Input!M60=0,0,INT((Input!M60*8.33/100)+0.5))</f>
        <v>7504</v>
      </c>
      <c r="N151" s="159">
        <f>IF(Input!N60=0,0,INT((Input!N60*8.33/100)+0.5))</f>
        <v>7504</v>
      </c>
      <c r="O151" s="159">
        <f>IF(Input!O60=0,0,INT((Input!O60*8.33/100)+0.5))</f>
        <v>7504</v>
      </c>
      <c r="P151" s="159">
        <f>IF(Input!P60=0,0,INT((Input!P60*8.33/100)+0.5))</f>
        <v>7504</v>
      </c>
      <c r="Q151" s="159">
        <f>IF(Input!Q60=0,0,INT((Input!Q60*8.33/100)+0.5))</f>
        <v>7504</v>
      </c>
      <c r="R151" s="159">
        <f>IF(Input!R60=0,0,INT((Input!R60*8.33/100)+0.5))</f>
        <v>7933</v>
      </c>
      <c r="S151" s="160">
        <f>IF(S150=0,0,S150*8.33/100)</f>
        <v>96171.6826</v>
      </c>
      <c r="T151" s="194"/>
      <c r="U151" s="195"/>
      <c r="V151" s="195"/>
      <c r="W151" s="3"/>
      <c r="X151" s="3"/>
      <c r="Y151" s="3"/>
      <c r="Z151" s="3"/>
    </row>
    <row r="152" ht="15.75" customHeight="1">
      <c r="A152" s="120">
        <v>39356.0</v>
      </c>
      <c r="B152" s="139" t="str">
        <f>Input!M$40</f>
        <v/>
      </c>
      <c r="C152" s="3"/>
      <c r="D152" s="185"/>
      <c r="E152" s="161"/>
      <c r="F152" s="156" t="s">
        <v>212</v>
      </c>
      <c r="G152" s="159">
        <f>IF(Input!G60&lt;=$U$7,INT((Input!G60*8.33%)+0.5),INT(($U$7*8.33%)+0.5))</f>
        <v>1250</v>
      </c>
      <c r="H152" s="159">
        <f>IF(Input!H60&lt;=$U$7,INT((Input!H60*8.33%)+0.5),INT(($U$7*8.33%)+0.5))</f>
        <v>1250</v>
      </c>
      <c r="I152" s="159">
        <f>IF(Input!I60&lt;=$U$7,INT((Input!I60*8.33%)+0.5),INT(($U$7*8.33%)+0.5))</f>
        <v>1250</v>
      </c>
      <c r="J152" s="159">
        <f>IF(Input!J60&lt;=$U$7,INT((Input!J60*8.33%)+0.5),INT(($U$7*8.33%)+0.5))</f>
        <v>1250</v>
      </c>
      <c r="K152" s="159">
        <f>IF(Input!K60&lt;=$U$7,INT((Input!K60*8.33%)+0.5),INT(($U$7*8.33%)+0.5))</f>
        <v>1250</v>
      </c>
      <c r="L152" s="159">
        <f>IF(Input!L60&lt;=$U$7,INT((Input!L60*8.33%)+0.5),INT(($U$7*8.33%)+0.5))</f>
        <v>1250</v>
      </c>
      <c r="M152" s="159">
        <f>IF(Input!M60&lt;=$U$7,INT((Input!M60*8.33%)+0.5),INT(($U$7*8.33%)+0.5))</f>
        <v>1250</v>
      </c>
      <c r="N152" s="159">
        <f>IF(Input!N60&lt;=$U$7,INT((Input!N60*8.33%)+0.5),INT(($U$7*8.33%)+0.5))</f>
        <v>1250</v>
      </c>
      <c r="O152" s="159">
        <f>IF(Input!O60&lt;=$U$7,INT((Input!O60*8.33%)+0.5),INT(($U$7*8.33%)+0.5))</f>
        <v>1250</v>
      </c>
      <c r="P152" s="159">
        <f>IF(Input!P60&lt;=$U$7,INT((Input!P60*8.33%)+0.5),INT(($U$7*8.33%)+0.5))</f>
        <v>1250</v>
      </c>
      <c r="Q152" s="159">
        <f>IF(Input!Q60&lt;=$U$7,INT((Input!Q60*8.33%)+0.5),INT(($U$7*8.33%)+0.5))</f>
        <v>1250</v>
      </c>
      <c r="R152" s="159">
        <f>IF(Input!R60&lt;=$U$7,INT((Input!R60*8.33%)+0.5),INT(($U$7*8.33%)+0.5))</f>
        <v>1250</v>
      </c>
      <c r="S152" s="160">
        <f>IF(S150=0,0,$U$7*8.33%)</f>
        <v>1249.5</v>
      </c>
      <c r="T152" s="194"/>
      <c r="U152" s="195"/>
      <c r="V152" s="195"/>
      <c r="W152" s="3"/>
      <c r="X152" s="3"/>
      <c r="Y152" s="3"/>
      <c r="Z152" s="3"/>
    </row>
    <row r="153" ht="15.75" customHeight="1">
      <c r="A153" s="120">
        <v>39387.0</v>
      </c>
      <c r="B153" s="139" t="str">
        <f>Input!N$40</f>
        <v/>
      </c>
      <c r="C153" s="3"/>
      <c r="D153" s="185"/>
      <c r="E153" s="161"/>
      <c r="F153" s="187" t="s">
        <v>219</v>
      </c>
      <c r="G153" s="188">
        <f>IF(Input!G60&lt;=$U$7,0,INT(((Input!G60-$U$7)*1.16%)+0.5))</f>
        <v>709</v>
      </c>
      <c r="H153" s="188">
        <f>IF(Input!H60&lt;=$U$7,0,INT(((Input!H60-$U$7)*1.16%)+0.5))</f>
        <v>709</v>
      </c>
      <c r="I153" s="188">
        <f>IF(Input!I60&lt;=$U$7,0,INT(((Input!I60-$U$7)*1.16%)+0.5))</f>
        <v>1987</v>
      </c>
      <c r="J153" s="188">
        <f>IF(Input!J60&lt;=$U$7,0,INT(((Input!J60-$U$7)*1.16%)+0.5))</f>
        <v>861</v>
      </c>
      <c r="K153" s="188">
        <f>IF(Input!K60&lt;=$U$7,0,INT(((Input!K60-$U$7)*1.16%)+0.5))</f>
        <v>861</v>
      </c>
      <c r="L153" s="188">
        <f>IF(Input!L60&lt;=$U$7,0,INT(((Input!L60-$U$7)*1.16%)+0.5))</f>
        <v>891</v>
      </c>
      <c r="M153" s="188">
        <f>IF(Input!M60&lt;=$U$7,0,INT(((Input!M60-$U$7)*1.16%)+0.5))</f>
        <v>871</v>
      </c>
      <c r="N153" s="188">
        <f>IF(Input!N60&lt;=$U$7,0,INT(((Input!N60-$U$7)*1.16%)+0.5))</f>
        <v>871</v>
      </c>
      <c r="O153" s="188">
        <f>IF(Input!O60&lt;=$U$7,0,INT(((Input!O60-$U$7)*1.16%)+0.5))</f>
        <v>871</v>
      </c>
      <c r="P153" s="188">
        <f>IF(Input!P60&lt;=$U$7,0,INT(((Input!P60-$U$7)*1.16%)+0.5))</f>
        <v>871</v>
      </c>
      <c r="Q153" s="188">
        <f>IF(Input!Q60&lt;=$U$7,0,INT(((Input!Q60-$U$7)*1.16%)+0.5))</f>
        <v>871</v>
      </c>
      <c r="R153" s="188">
        <f>IF(Input!R60&lt;=$U$7,0,INT(((Input!R60-$U$7)*1.16%)+0.5))</f>
        <v>931</v>
      </c>
      <c r="S153" s="189">
        <f>SUM(G153:R153)</f>
        <v>11304</v>
      </c>
      <c r="T153" s="194"/>
      <c r="U153" s="195"/>
      <c r="V153" s="195"/>
      <c r="W153" s="3"/>
      <c r="X153" s="3"/>
      <c r="Y153" s="3"/>
      <c r="Z153" s="3"/>
    </row>
    <row r="154" ht="15.75" customHeight="1">
      <c r="A154" s="120">
        <v>39417.0</v>
      </c>
      <c r="B154" s="139" t="str">
        <f>Input!O$40</f>
        <v/>
      </c>
      <c r="C154" s="3"/>
      <c r="D154" s="185"/>
      <c r="E154" s="161"/>
      <c r="F154" s="156" t="s">
        <v>213</v>
      </c>
      <c r="G154" s="160">
        <f t="shared" ref="G154:R154" si="87">IF(G151-G152&lt;=0,0,G151-G152)</f>
        <v>5094</v>
      </c>
      <c r="H154" s="160">
        <f t="shared" si="87"/>
        <v>5094</v>
      </c>
      <c r="I154" s="160">
        <f t="shared" si="87"/>
        <v>14265</v>
      </c>
      <c r="J154" s="160">
        <f t="shared" si="87"/>
        <v>6183</v>
      </c>
      <c r="K154" s="160">
        <f t="shared" si="87"/>
        <v>6183</v>
      </c>
      <c r="L154" s="160">
        <f t="shared" si="87"/>
        <v>6397</v>
      </c>
      <c r="M154" s="160">
        <f t="shared" si="87"/>
        <v>6254</v>
      </c>
      <c r="N154" s="160">
        <f t="shared" si="87"/>
        <v>6254</v>
      </c>
      <c r="O154" s="160">
        <f t="shared" si="87"/>
        <v>6254</v>
      </c>
      <c r="P154" s="160">
        <f t="shared" si="87"/>
        <v>6254</v>
      </c>
      <c r="Q154" s="160">
        <f t="shared" si="87"/>
        <v>6254</v>
      </c>
      <c r="R154" s="160">
        <f t="shared" si="87"/>
        <v>6683</v>
      </c>
      <c r="S154" s="160">
        <f>S151-S152+S153</f>
        <v>106226.1826</v>
      </c>
      <c r="T154" s="194"/>
      <c r="U154" s="195"/>
      <c r="V154" s="195"/>
      <c r="W154" s="3"/>
      <c r="X154" s="3"/>
      <c r="Y154" s="3"/>
      <c r="Z154" s="3"/>
    </row>
    <row r="155" ht="15.75" customHeight="1">
      <c r="A155" s="120">
        <v>39448.0</v>
      </c>
      <c r="B155" s="139" t="str">
        <f>Input!P$40</f>
        <v/>
      </c>
      <c r="C155" s="3"/>
      <c r="D155" s="185"/>
      <c r="E155" s="161" t="s">
        <v>214</v>
      </c>
      <c r="F155" s="156" t="s">
        <v>215</v>
      </c>
      <c r="G155" s="160" t="str">
        <f>IF(G150=0,0,IF($T$11&lt;=Input!G59,0,R147+R148+U148))</f>
        <v>#REF!</v>
      </c>
      <c r="H155" s="160" t="str">
        <f>IF(H150=0,0,IF($T$11&lt;=Input!H59,0,G154+G155))</f>
        <v>#REF!</v>
      </c>
      <c r="I155" s="160" t="str">
        <f>IF(I150=0,0,IF($T$11&lt;=Input!I59,0,H154+H155))</f>
        <v>#REF!</v>
      </c>
      <c r="J155" s="160" t="str">
        <f>IF(J150=0,0,IF($T$11&lt;=Input!J59,0,I154+I155))</f>
        <v>#REF!</v>
      </c>
      <c r="K155" s="160" t="str">
        <f>IF(K150=0,0,IF($T$11&lt;=Input!K59,0,J154+J155))</f>
        <v>#REF!</v>
      </c>
      <c r="L155" s="160" t="str">
        <f>IF(L150=0,0,IF($T$11&lt;=Input!L59,0,K154+K155))</f>
        <v>#REF!</v>
      </c>
      <c r="M155" s="160" t="str">
        <f>IF(M150=0,0,IF($T$11&lt;=Input!M59,0,L154+L155))</f>
        <v>#REF!</v>
      </c>
      <c r="N155" s="160" t="str">
        <f>IF(N150=0,0,IF($T$11&lt;=Input!N59,0,M154+M155))</f>
        <v>#REF!</v>
      </c>
      <c r="O155" s="160" t="str">
        <f>IF(O150=0,0,IF($T$11&lt;=Input!O59,0,N154+N155))</f>
        <v>#REF!</v>
      </c>
      <c r="P155" s="160" t="str">
        <f>IF(P150=0,0,IF($T$11&lt;=Input!P59,0,O154+O155))</f>
        <v>#REF!</v>
      </c>
      <c r="Q155" s="160" t="str">
        <f>IF(Q150=0,0,IF($T$11&lt;=Input!Q59,0,P154+P155))</f>
        <v>#REF!</v>
      </c>
      <c r="R155" s="160" t="str">
        <f>IF(R150=0,0,IF($T$11&lt;=Input!R59,0,Q154+Q155))</f>
        <v>#REF!</v>
      </c>
      <c r="S155" s="115"/>
      <c r="T155" s="162">
        <f>SUM(G154:R154)</f>
        <v>81169</v>
      </c>
      <c r="U155" s="160" t="str">
        <f>SUM(G156:R156)</f>
        <v>#REF!</v>
      </c>
      <c r="V155" s="160" t="str">
        <f>SUM(T155,U155)</f>
        <v>#REF!</v>
      </c>
      <c r="W155" s="3"/>
      <c r="X155" s="3"/>
      <c r="Y155" s="3"/>
      <c r="Z155" s="3"/>
    </row>
    <row r="156" ht="15.75" customHeight="1">
      <c r="A156" s="120">
        <v>39479.0</v>
      </c>
      <c r="B156" s="139" t="str">
        <f>Input!Q$40</f>
        <v/>
      </c>
      <c r="C156" s="3"/>
      <c r="D156" s="185"/>
      <c r="E156" s="164">
        <v>0.0855</v>
      </c>
      <c r="F156" s="165" t="s">
        <v>216</v>
      </c>
      <c r="G156" s="97" t="str">
        <f t="shared" ref="G156:R156" si="88">G155/12*$E156</f>
        <v>#REF!</v>
      </c>
      <c r="H156" s="160" t="str">
        <f t="shared" si="88"/>
        <v>#REF!</v>
      </c>
      <c r="I156" s="160" t="str">
        <f t="shared" si="88"/>
        <v>#REF!</v>
      </c>
      <c r="J156" s="160" t="str">
        <f t="shared" si="88"/>
        <v>#REF!</v>
      </c>
      <c r="K156" s="160" t="str">
        <f t="shared" si="88"/>
        <v>#REF!</v>
      </c>
      <c r="L156" s="160" t="str">
        <f t="shared" si="88"/>
        <v>#REF!</v>
      </c>
      <c r="M156" s="160" t="str">
        <f t="shared" si="88"/>
        <v>#REF!</v>
      </c>
      <c r="N156" s="160" t="str">
        <f t="shared" si="88"/>
        <v>#REF!</v>
      </c>
      <c r="O156" s="160" t="str">
        <f t="shared" si="88"/>
        <v>#REF!</v>
      </c>
      <c r="P156" s="160" t="str">
        <f t="shared" si="88"/>
        <v>#REF!</v>
      </c>
      <c r="Q156" s="160" t="str">
        <f t="shared" si="88"/>
        <v>#REF!</v>
      </c>
      <c r="R156" s="160" t="str">
        <f t="shared" si="88"/>
        <v>#REF!</v>
      </c>
      <c r="S156" s="115"/>
      <c r="T156" s="168" t="str">
        <f t="shared" ref="T156:V156" si="89">SUM(T19,T25,T31,T37,T43,T49,T55,T61,T67,T73,T79,T85,T91,T97,T103,T109,T115,T121,T127,T134,T141,T148,T155)</f>
        <v>#REF!</v>
      </c>
      <c r="U156" s="169" t="str">
        <f t="shared" si="89"/>
        <v>#REF!</v>
      </c>
      <c r="V156" s="169" t="str">
        <f t="shared" si="89"/>
        <v>#REF!</v>
      </c>
      <c r="W156" s="3"/>
      <c r="X156" s="3"/>
      <c r="Y156" s="3"/>
      <c r="Z156" s="3"/>
    </row>
    <row r="157" ht="15.75" customHeight="1">
      <c r="A157" s="120">
        <v>39508.0</v>
      </c>
      <c r="B157" s="139" t="str">
        <f>Input!R$40</f>
        <v/>
      </c>
      <c r="C157" s="3"/>
      <c r="D157" s="183">
        <v>24.0</v>
      </c>
      <c r="E157" s="161" t="s">
        <v>44</v>
      </c>
      <c r="F157" s="155" t="s">
        <v>210</v>
      </c>
      <c r="G157" s="171">
        <v>43191.0</v>
      </c>
      <c r="H157" s="171">
        <v>43221.0</v>
      </c>
      <c r="I157" s="171">
        <v>43252.0</v>
      </c>
      <c r="J157" s="171">
        <v>43282.0</v>
      </c>
      <c r="K157" s="171">
        <v>43313.0</v>
      </c>
      <c r="L157" s="171">
        <v>43344.0</v>
      </c>
      <c r="M157" s="171">
        <v>43374.0</v>
      </c>
      <c r="N157" s="171">
        <v>43405.0</v>
      </c>
      <c r="O157" s="171">
        <v>43435.0</v>
      </c>
      <c r="P157" s="171">
        <v>43466.0</v>
      </c>
      <c r="Q157" s="171">
        <v>43497.0</v>
      </c>
      <c r="R157" s="171">
        <v>43525.0</v>
      </c>
      <c r="S157" s="97">
        <f>SUM(Input!G62:R62)</f>
        <v>1150578</v>
      </c>
      <c r="T157" s="153"/>
      <c r="U157" s="151"/>
      <c r="V157" s="151"/>
      <c r="W157" s="3"/>
      <c r="X157" s="3"/>
      <c r="Y157" s="3"/>
      <c r="Z157" s="3"/>
    </row>
    <row r="158" ht="15.75" customHeight="1">
      <c r="A158" s="120">
        <v>39539.0</v>
      </c>
      <c r="B158" s="139" t="str">
        <f>Input!G$42</f>
        <v/>
      </c>
      <c r="C158" s="3"/>
      <c r="D158" s="185"/>
      <c r="E158" s="161"/>
      <c r="F158" s="156" t="s">
        <v>211</v>
      </c>
      <c r="G158" s="159">
        <f>IF(Input!G62=0,0,INT((Input!G62*8.33/100)+0.5))</f>
        <v>7647</v>
      </c>
      <c r="H158" s="159">
        <f>IF(Input!H62=0,0,INT((Input!H62*8.33/100)+0.5))</f>
        <v>7647</v>
      </c>
      <c r="I158" s="159">
        <f>IF(Input!I62=0,0,INT((Input!I62*8.33/100)+0.5))</f>
        <v>7647</v>
      </c>
      <c r="J158" s="159">
        <f>IF(Input!J62=0,0,INT((Input!J62*8.33/100)+0.5))</f>
        <v>7879</v>
      </c>
      <c r="K158" s="159">
        <f>IF(Input!K62=0,0,INT((Input!K62*8.33/100)+0.5))</f>
        <v>8174</v>
      </c>
      <c r="L158" s="159">
        <f>IF(Input!L62=0,0,INT((Input!L62*8.33/100)+0.5))</f>
        <v>8026</v>
      </c>
      <c r="M158" s="159">
        <f>IF(Input!M62=0,0,INT((Input!M62*8.33/100)+0.5))</f>
        <v>8026</v>
      </c>
      <c r="N158" s="159">
        <f>IF(Input!N62=0,0,INT((Input!N62*8.33/100)+0.5))</f>
        <v>8026</v>
      </c>
      <c r="O158" s="159">
        <f>IF(Input!O62=0,0,INT((Input!O62*8.33/100)+0.5))</f>
        <v>8026</v>
      </c>
      <c r="P158" s="159">
        <f>IF(Input!P62=0,0,INT((Input!P62*8.33/100)+0.5))</f>
        <v>8026</v>
      </c>
      <c r="Q158" s="159">
        <f>IF(Input!Q62=0,0,INT((Input!Q62*8.33/100)+0.5))</f>
        <v>8026</v>
      </c>
      <c r="R158" s="159">
        <f>IF(Input!R62=0,0,INT((Input!R62*8.33/100)+0.5))</f>
        <v>8689</v>
      </c>
      <c r="S158" s="160">
        <f>IF(S157=0,0,S157*8.33/100)</f>
        <v>95843.1474</v>
      </c>
      <c r="T158" s="153"/>
      <c r="U158" s="151"/>
      <c r="V158" s="151"/>
      <c r="W158" s="3"/>
      <c r="X158" s="3"/>
      <c r="Y158" s="3"/>
      <c r="Z158" s="3"/>
    </row>
    <row r="159" ht="15.75" customHeight="1">
      <c r="A159" s="120">
        <v>39569.0</v>
      </c>
      <c r="B159" s="139" t="str">
        <f>Input!H$42</f>
        <v/>
      </c>
      <c r="C159" s="3"/>
      <c r="D159" s="185"/>
      <c r="E159" s="161"/>
      <c r="F159" s="156" t="s">
        <v>212</v>
      </c>
      <c r="G159" s="159">
        <f>IF(Input!G62&lt;=$U$7,INT((Input!G62*8.33%)+0.5),INT(($U$7*8.33%)+0.5))</f>
        <v>1250</v>
      </c>
      <c r="H159" s="159">
        <f>IF(Input!H62&lt;=$U$7,INT((Input!H62*8.33%)+0.5),INT(($U$7*8.33%)+0.5))</f>
        <v>1250</v>
      </c>
      <c r="I159" s="159">
        <f>IF(Input!I62&lt;=$U$7,INT((Input!I62*8.33%)+0.5),INT(($U$7*8.33%)+0.5))</f>
        <v>1250</v>
      </c>
      <c r="J159" s="159">
        <f>IF(Input!J62&lt;=$U$7,INT((Input!J62*8.33%)+0.5),INT(($U$7*8.33%)+0.5))</f>
        <v>1250</v>
      </c>
      <c r="K159" s="159">
        <f>IF(Input!K62&lt;=$U$7,INT((Input!K62*8.33%)+0.5),INT(($U$7*8.33%)+0.5))</f>
        <v>1250</v>
      </c>
      <c r="L159" s="159">
        <f>IF(Input!L62&lt;=$U$7,INT((Input!L62*8.33%)+0.5),INT(($U$7*8.33%)+0.5))</f>
        <v>1250</v>
      </c>
      <c r="M159" s="159">
        <f>IF(Input!M62&lt;=$U$7,INT((Input!M62*8.33%)+0.5),INT(($U$7*8.33%)+0.5))</f>
        <v>1250</v>
      </c>
      <c r="N159" s="159">
        <f>IF(Input!N62&lt;=$U$7,INT((Input!N62*8.33%)+0.5),INT(($U$7*8.33%)+0.5))</f>
        <v>1250</v>
      </c>
      <c r="O159" s="159">
        <f>IF(Input!O62&lt;=$U$7,INT((Input!O62*8.33%)+0.5),INT(($U$7*8.33%)+0.5))</f>
        <v>1250</v>
      </c>
      <c r="P159" s="159">
        <f>IF(Input!P62&lt;=$U$7,INT((Input!P62*8.33%)+0.5),INT(($U$7*8.33%)+0.5))</f>
        <v>1250</v>
      </c>
      <c r="Q159" s="159">
        <f>IF(Input!Q62&lt;=$U$7,INT((Input!Q62*8.33%)+0.5),INT(($U$7*8.33%)+0.5))</f>
        <v>1250</v>
      </c>
      <c r="R159" s="159">
        <f>IF(Input!R62&lt;=$U$7,INT((Input!R62*8.33%)+0.5),INT(($U$7*8.33%)+0.5))</f>
        <v>1250</v>
      </c>
      <c r="S159" s="160">
        <f>IF(S157=0,0,$U$7*8.33%)</f>
        <v>1249.5</v>
      </c>
      <c r="T159" s="153"/>
      <c r="U159" s="151"/>
      <c r="V159" s="151"/>
      <c r="W159" s="3"/>
      <c r="X159" s="3"/>
      <c r="Y159" s="3"/>
      <c r="Z159" s="3"/>
    </row>
    <row r="160" ht="15.75" customHeight="1">
      <c r="A160" s="120">
        <v>39600.0</v>
      </c>
      <c r="B160" s="139" t="str">
        <f>Input!I$42</f>
        <v/>
      </c>
      <c r="C160" s="3"/>
      <c r="D160" s="185"/>
      <c r="E160" s="161"/>
      <c r="F160" s="187" t="s">
        <v>219</v>
      </c>
      <c r="G160" s="188">
        <f>IF(Input!G62&lt;=$U$7,0,INT(((Input!G62-$U$7)*1.16%)+0.5))</f>
        <v>891</v>
      </c>
      <c r="H160" s="188">
        <f>IF(Input!H62&lt;=$U$7,0,INT(((Input!H62-$U$7)*1.16%)+0.5))</f>
        <v>891</v>
      </c>
      <c r="I160" s="188">
        <f>IF(Input!I62&lt;=$U$7,0,INT(((Input!I62-$U$7)*1.16%)+0.5))</f>
        <v>891</v>
      </c>
      <c r="J160" s="188">
        <f>IF(Input!J62&lt;=$U$7,0,INT(((Input!J62-$U$7)*1.16%)+0.5))</f>
        <v>923</v>
      </c>
      <c r="K160" s="188">
        <f>IF(Input!K62&lt;=$U$7,0,INT(((Input!K62-$U$7)*1.16%)+0.5))</f>
        <v>964</v>
      </c>
      <c r="L160" s="188">
        <f>IF(Input!L62&lt;=$U$7,0,INT(((Input!L62-$U$7)*1.16%)+0.5))</f>
        <v>944</v>
      </c>
      <c r="M160" s="188">
        <f>IF(Input!M62&lt;=$U$7,0,INT(((Input!M62-$U$7)*1.16%)+0.5))</f>
        <v>944</v>
      </c>
      <c r="N160" s="188">
        <f>IF(Input!N62&lt;=$U$7,0,INT(((Input!N62-$U$7)*1.16%)+0.5))</f>
        <v>944</v>
      </c>
      <c r="O160" s="188">
        <f>IF(Input!O62&lt;=$U$7,0,INT(((Input!O62-$U$7)*1.16%)+0.5))</f>
        <v>944</v>
      </c>
      <c r="P160" s="188">
        <f>IF(Input!P62&lt;=$U$7,0,INT(((Input!P62-$U$7)*1.16%)+0.5))</f>
        <v>944</v>
      </c>
      <c r="Q160" s="188">
        <f>IF(Input!Q62&lt;=$U$7,0,INT(((Input!Q62-$U$7)*1.16%)+0.5))</f>
        <v>944</v>
      </c>
      <c r="R160" s="188">
        <f>IF(Input!R62&lt;=$U$7,0,INT(((Input!R62-$U$7)*1.16%)+0.5))</f>
        <v>1036</v>
      </c>
      <c r="S160" s="189">
        <f>SUM(G160:R160)</f>
        <v>11260</v>
      </c>
      <c r="T160" s="153"/>
      <c r="U160" s="151"/>
      <c r="V160" s="151"/>
      <c r="W160" s="3"/>
      <c r="X160" s="3"/>
      <c r="Y160" s="3"/>
      <c r="Z160" s="3"/>
    </row>
    <row r="161" ht="15.75" customHeight="1">
      <c r="A161" s="120">
        <v>39630.0</v>
      </c>
      <c r="B161" s="139" t="str">
        <f>Input!J$42</f>
        <v/>
      </c>
      <c r="C161" s="3"/>
      <c r="D161" s="185"/>
      <c r="E161" s="161"/>
      <c r="F161" s="156" t="s">
        <v>213</v>
      </c>
      <c r="G161" s="160">
        <f t="shared" ref="G161:R161" si="90">IF(G158-G159&lt;=0,0,G158-G159)</f>
        <v>6397</v>
      </c>
      <c r="H161" s="160">
        <f t="shared" si="90"/>
        <v>6397</v>
      </c>
      <c r="I161" s="160">
        <f t="shared" si="90"/>
        <v>6397</v>
      </c>
      <c r="J161" s="160">
        <f t="shared" si="90"/>
        <v>6629</v>
      </c>
      <c r="K161" s="160">
        <f t="shared" si="90"/>
        <v>6924</v>
      </c>
      <c r="L161" s="160">
        <f t="shared" si="90"/>
        <v>6776</v>
      </c>
      <c r="M161" s="160">
        <f t="shared" si="90"/>
        <v>6776</v>
      </c>
      <c r="N161" s="160">
        <f t="shared" si="90"/>
        <v>6776</v>
      </c>
      <c r="O161" s="160">
        <f t="shared" si="90"/>
        <v>6776</v>
      </c>
      <c r="P161" s="160">
        <f t="shared" si="90"/>
        <v>6776</v>
      </c>
      <c r="Q161" s="160">
        <f t="shared" si="90"/>
        <v>6776</v>
      </c>
      <c r="R161" s="160">
        <f t="shared" si="90"/>
        <v>7439</v>
      </c>
      <c r="S161" s="160">
        <f>S158-S159+S160</f>
        <v>105853.6474</v>
      </c>
      <c r="T161" s="153"/>
      <c r="U161" s="151"/>
      <c r="V161" s="151"/>
      <c r="W161" s="3"/>
      <c r="X161" s="3"/>
      <c r="Y161" s="3"/>
      <c r="Z161" s="3"/>
    </row>
    <row r="162" ht="15.75" customHeight="1">
      <c r="A162" s="120">
        <v>39661.0</v>
      </c>
      <c r="B162" s="139" t="str">
        <f>Input!K$42</f>
        <v/>
      </c>
      <c r="C162" s="3"/>
      <c r="D162" s="185"/>
      <c r="E162" s="161" t="s">
        <v>214</v>
      </c>
      <c r="F162" s="156" t="s">
        <v>215</v>
      </c>
      <c r="G162" s="160" t="str">
        <f>IF(G157=0,0,IF($T$11&lt;=Input!G61,0,R154+R155+U155))</f>
        <v>#REF!</v>
      </c>
      <c r="H162" s="160" t="str">
        <f>IF(H157=0,0,IF($T$11&lt;=Input!H61,0,G161+G162))</f>
        <v>#REF!</v>
      </c>
      <c r="I162" s="160" t="str">
        <f>IF(I157=0,0,IF($T$11&lt;=Input!I61,0,H161+H162))</f>
        <v>#REF!</v>
      </c>
      <c r="J162" s="160" t="str">
        <f>IF(J157=0,0,IF($T$11&lt;=Input!J61,0,I161+I162))</f>
        <v>#REF!</v>
      </c>
      <c r="K162" s="160" t="str">
        <f>IF(K157=0,0,IF($T$11&lt;=Input!K61,0,J161+J162))</f>
        <v>#REF!</v>
      </c>
      <c r="L162" s="160" t="str">
        <f>IF(L157=0,0,IF($T$11&lt;=Input!L61,0,K161+K162))</f>
        <v>#REF!</v>
      </c>
      <c r="M162" s="160" t="str">
        <f>IF(M157=0,0,IF($T$11&lt;=Input!M61,0,L161+L162))</f>
        <v>#REF!</v>
      </c>
      <c r="N162" s="160" t="str">
        <f>IF(N157=0,0,IF($T$11&lt;=Input!N61,0,M161+M162))</f>
        <v>#REF!</v>
      </c>
      <c r="O162" s="160" t="str">
        <f>IF(O157=0,0,IF($T$11&lt;=Input!O61,0,N161+N162))</f>
        <v>#REF!</v>
      </c>
      <c r="P162" s="160" t="str">
        <f>IF(P157=0,0,IF($T$11&lt;=Input!P61,0,O161+O162))</f>
        <v>#REF!</v>
      </c>
      <c r="Q162" s="160" t="str">
        <f>IF(Q157=0,0,IF($T$11&lt;=Input!Q61,0,P161+P162))</f>
        <v>#REF!</v>
      </c>
      <c r="R162" s="160" t="str">
        <f>IF(R157=0,0,IF($T$11&lt;=Input!R61,0,Q161+Q162))</f>
        <v>#REF!</v>
      </c>
      <c r="S162" s="115"/>
      <c r="T162" s="162">
        <f>SUM(G161:R161)</f>
        <v>80839</v>
      </c>
      <c r="U162" s="160" t="str">
        <f>SUM(G163:R163)</f>
        <v>#REF!</v>
      </c>
      <c r="V162" s="160" t="str">
        <f>SUM(T162,U162)</f>
        <v>#REF!</v>
      </c>
      <c r="W162" s="3"/>
      <c r="X162" s="3"/>
      <c r="Y162" s="3"/>
      <c r="Z162" s="3"/>
    </row>
    <row r="163" ht="15.75" customHeight="1">
      <c r="A163" s="120">
        <v>39692.0</v>
      </c>
      <c r="B163" s="139" t="str">
        <f>Input!L$42</f>
        <v/>
      </c>
      <c r="C163" s="3"/>
      <c r="D163" s="185"/>
      <c r="E163" s="164">
        <v>0.0865</v>
      </c>
      <c r="F163" s="165" t="s">
        <v>216</v>
      </c>
      <c r="G163" s="97" t="str">
        <f t="shared" ref="G163:R163" si="91">G162/12*$E163</f>
        <v>#REF!</v>
      </c>
      <c r="H163" s="160" t="str">
        <f t="shared" si="91"/>
        <v>#REF!</v>
      </c>
      <c r="I163" s="160" t="str">
        <f t="shared" si="91"/>
        <v>#REF!</v>
      </c>
      <c r="J163" s="160" t="str">
        <f t="shared" si="91"/>
        <v>#REF!</v>
      </c>
      <c r="K163" s="160" t="str">
        <f t="shared" si="91"/>
        <v>#REF!</v>
      </c>
      <c r="L163" s="160" t="str">
        <f t="shared" si="91"/>
        <v>#REF!</v>
      </c>
      <c r="M163" s="160" t="str">
        <f t="shared" si="91"/>
        <v>#REF!</v>
      </c>
      <c r="N163" s="160" t="str">
        <f t="shared" si="91"/>
        <v>#REF!</v>
      </c>
      <c r="O163" s="160" t="str">
        <f t="shared" si="91"/>
        <v>#REF!</v>
      </c>
      <c r="P163" s="160" t="str">
        <f t="shared" si="91"/>
        <v>#REF!</v>
      </c>
      <c r="Q163" s="160" t="str">
        <f t="shared" si="91"/>
        <v>#REF!</v>
      </c>
      <c r="R163" s="160" t="str">
        <f t="shared" si="91"/>
        <v>#REF!</v>
      </c>
      <c r="S163" s="115"/>
      <c r="T163" s="168" t="str">
        <f t="shared" ref="T163:V163" si="92">SUM(T19,T25,T31,T37,T43,T49,T55,T61,T67,T73,T79,T85,T91,T97,T103,T109,T115,T121,T127,T134,T141,T148,T155,T162)</f>
        <v>#REF!</v>
      </c>
      <c r="U163" s="169" t="str">
        <f t="shared" si="92"/>
        <v>#REF!</v>
      </c>
      <c r="V163" s="169" t="str">
        <f t="shared" si="92"/>
        <v>#REF!</v>
      </c>
      <c r="W163" s="3"/>
      <c r="X163" s="3"/>
      <c r="Y163" s="3"/>
      <c r="Z163" s="3"/>
    </row>
    <row r="164" ht="15.75" customHeight="1">
      <c r="A164" s="120">
        <v>39722.0</v>
      </c>
      <c r="B164" s="139" t="str">
        <f>Input!M$42</f>
        <v/>
      </c>
      <c r="C164" s="3"/>
      <c r="D164" s="183">
        <v>25.0</v>
      </c>
      <c r="E164" s="161" t="s">
        <v>45</v>
      </c>
      <c r="F164" s="155" t="s">
        <v>210</v>
      </c>
      <c r="G164" s="171">
        <v>43556.0</v>
      </c>
      <c r="H164" s="171">
        <v>43586.0</v>
      </c>
      <c r="I164" s="171">
        <v>43617.0</v>
      </c>
      <c r="J164" s="171">
        <v>43647.0</v>
      </c>
      <c r="K164" s="171">
        <v>43678.0</v>
      </c>
      <c r="L164" s="171">
        <v>43709.0</v>
      </c>
      <c r="M164" s="171">
        <v>43739.0</v>
      </c>
      <c r="N164" s="171">
        <v>43770.0</v>
      </c>
      <c r="O164" s="171">
        <v>43800.0</v>
      </c>
      <c r="P164" s="171">
        <v>43831.0</v>
      </c>
      <c r="Q164" s="171">
        <v>43862.0</v>
      </c>
      <c r="R164" s="171">
        <v>43891.0</v>
      </c>
      <c r="S164" s="97">
        <f>SUM(Input!G64:R64)</f>
        <v>1217671</v>
      </c>
      <c r="T164" s="196"/>
      <c r="U164" s="95"/>
      <c r="V164" s="95"/>
      <c r="W164" s="3"/>
      <c r="X164" s="3"/>
      <c r="Y164" s="3"/>
      <c r="Z164" s="3"/>
    </row>
    <row r="165" ht="15.75" customHeight="1">
      <c r="A165" s="120">
        <v>39753.0</v>
      </c>
      <c r="B165" s="139" t="str">
        <f>Input!N$42</f>
        <v/>
      </c>
      <c r="C165" s="3"/>
      <c r="D165" s="185"/>
      <c r="E165" s="161"/>
      <c r="F165" s="156" t="s">
        <v>211</v>
      </c>
      <c r="G165" s="159">
        <f>IF(Input!G64=0,0,INT((Input!G64*8.33/100)+0.5))</f>
        <v>8247</v>
      </c>
      <c r="H165" s="159">
        <f>IF(Input!H64=0,0,INT((Input!H64*8.33/100)+0.5))</f>
        <v>8247</v>
      </c>
      <c r="I165" s="160">
        <f>IF(Input!I64=0,0,Input!I64*8.33/100)</f>
        <v>8247.3664</v>
      </c>
      <c r="J165" s="160">
        <f>IF(Input!J64=0,0,Input!J64*8.33/100)</f>
        <v>5418.4151</v>
      </c>
      <c r="K165" s="160">
        <f>IF(Input!K64=0,0,Input!K64*8.33/100)</f>
        <v>8499.2656</v>
      </c>
      <c r="L165" s="160">
        <f>IF(Input!L64=0,0,Input!L64*8.33/100)</f>
        <v>9500.0318</v>
      </c>
      <c r="M165" s="160">
        <f>IF(Input!M64=0,0,Input!M64*8.33/100)</f>
        <v>8878.6971</v>
      </c>
      <c r="N165" s="160">
        <f>IF(Input!N64=0,0,Input!N64*8.33/100)</f>
        <v>8878.6971</v>
      </c>
      <c r="O165" s="160">
        <f>IF(Input!O64=0,0,Input!O64*8.33/100)</f>
        <v>8878.6971</v>
      </c>
      <c r="P165" s="160">
        <f>IF(Input!P64=0,0,Input!P64*8.33/100)</f>
        <v>8878.6971</v>
      </c>
      <c r="Q165" s="160">
        <f>IF(Input!Q64=0,0,Input!Q64*8.33/100)</f>
        <v>8878.6971</v>
      </c>
      <c r="R165" s="160">
        <f>IF(Input!R64=0,0,Input!R64*8.33/100)</f>
        <v>8878.6971</v>
      </c>
      <c r="S165" s="160">
        <f>IF(S164=0,0,S164*8.33/100)</f>
        <v>101431.9943</v>
      </c>
      <c r="T165" s="196"/>
      <c r="U165" s="95"/>
      <c r="V165" s="95"/>
      <c r="W165" s="3"/>
      <c r="X165" s="3"/>
      <c r="Y165" s="3"/>
      <c r="Z165" s="3"/>
    </row>
    <row r="166" ht="15.75" customHeight="1">
      <c r="A166" s="120">
        <v>39783.0</v>
      </c>
      <c r="B166" s="139" t="str">
        <f>Input!O$42</f>
        <v/>
      </c>
      <c r="C166" s="3"/>
      <c r="D166" s="185"/>
      <c r="E166" s="161"/>
      <c r="F166" s="156" t="s">
        <v>212</v>
      </c>
      <c r="G166" s="159">
        <f>IF(Input!G64&lt;=$U$7,INT((Input!G64*8.33%)+0.5),INT(($U$7*8.33%)+0.5))</f>
        <v>1250</v>
      </c>
      <c r="H166" s="159">
        <f>IF(Input!H64&lt;=$U$7,INT((Input!H64*8.33%)+0.5),INT(($U$7*8.33%)+0.5))</f>
        <v>1250</v>
      </c>
      <c r="I166" s="159">
        <f>IF(Input!I64&lt;=$U$7,INT((Input!I64*8.33%)+0.5),INT(($U$7*8.33%)+0.5))</f>
        <v>1250</v>
      </c>
      <c r="J166" s="159">
        <f>IF(Input!J64&lt;=$U$7,INT((Input!J64*8.33%)+0.5),INT(($U$7*8.33%)+0.5))</f>
        <v>1250</v>
      </c>
      <c r="K166" s="159">
        <f>IF(Input!K64&lt;=$U$7,INT((Input!K64*8.33%)+0.5),INT(($U$7*8.33%)+0.5))</f>
        <v>1250</v>
      </c>
      <c r="L166" s="159">
        <f>IF(Input!L64&lt;=$U$7,INT((Input!L64*8.33%)+0.5),INT(($U$7*8.33%)+0.5))</f>
        <v>1250</v>
      </c>
      <c r="M166" s="159">
        <f>IF(Input!M64&lt;=$U$7,INT((Input!M64*8.33%)+0.5),INT(($U$7*8.33%)+0.5))</f>
        <v>1250</v>
      </c>
      <c r="N166" s="159">
        <f>IF(Input!N64&lt;=$U$7,INT((Input!N64*8.33%)+0.5),INT(($U$7*8.33%)+0.5))</f>
        <v>1250</v>
      </c>
      <c r="O166" s="159">
        <f>IF(Input!O64&lt;=$U$7,INT((Input!O64*8.33%)+0.5),INT(($U$7*8.33%)+0.5))</f>
        <v>1250</v>
      </c>
      <c r="P166" s="159">
        <f>IF(Input!P64&lt;=$U$7,INT((Input!P64*8.33%)+0.5),INT(($U$7*8.33%)+0.5))</f>
        <v>1250</v>
      </c>
      <c r="Q166" s="159">
        <f>IF(Input!Q64&lt;=$U$7,INT((Input!Q64*8.33%)+0.5),INT(($U$7*8.33%)+0.5))</f>
        <v>1250</v>
      </c>
      <c r="R166" s="159">
        <f>IF(Input!R64&lt;=$U$7,INT((Input!R64*8.33%)+0.5),INT(($U$7*8.33%)+0.5))</f>
        <v>1250</v>
      </c>
      <c r="S166" s="160">
        <f>IF(S164=0,0,$U$7*8.33%)</f>
        <v>1249.5</v>
      </c>
      <c r="T166" s="196"/>
      <c r="U166" s="95"/>
      <c r="V166" s="95"/>
      <c r="W166" s="3"/>
      <c r="X166" s="3"/>
      <c r="Y166" s="3"/>
      <c r="Z166" s="3"/>
    </row>
    <row r="167" ht="15.75" customHeight="1">
      <c r="A167" s="120">
        <v>39814.0</v>
      </c>
      <c r="B167" s="139" t="str">
        <f>Input!P$42</f>
        <v/>
      </c>
      <c r="C167" s="3"/>
      <c r="D167" s="185"/>
      <c r="E167" s="161"/>
      <c r="F167" s="187" t="s">
        <v>219</v>
      </c>
      <c r="G167" s="188">
        <f>IF(Input!G64&lt;=$U$7,0,INT(((Input!G64-$U$7)*1.16%)+0.5))</f>
        <v>974</v>
      </c>
      <c r="H167" s="188">
        <f>IF(Input!H64&lt;=$U$7,0,INT(((Input!H64-$U$7)*1.16%)+0.5))</f>
        <v>974</v>
      </c>
      <c r="I167" s="188">
        <f>IF(Input!I64&lt;=$U$7,0,INT(((Input!I64-$U$7)*1.16%)+0.5))</f>
        <v>974</v>
      </c>
      <c r="J167" s="188">
        <f>IF(Input!J64&lt;=$U$7,0,INT(((Input!J64-$U$7)*1.16%)+0.5))</f>
        <v>581</v>
      </c>
      <c r="K167" s="188">
        <f>IF(Input!K64&lt;=$U$7,0,INT(((Input!K64-$U$7)*1.16%)+0.5))</f>
        <v>1010</v>
      </c>
      <c r="L167" s="188">
        <f>IF(Input!L64&lt;=$U$7,0,INT(((Input!L64-$U$7)*1.16%)+0.5))</f>
        <v>1149</v>
      </c>
      <c r="M167" s="188">
        <f>IF(Input!M64&lt;=$U$7,0,INT(((Input!M64-$U$7)*1.16%)+0.5))</f>
        <v>1062</v>
      </c>
      <c r="N167" s="188">
        <f>IF(Input!N64&lt;=$U$7,0,INT(((Input!N64-$U$7)*1.16%)+0.5))</f>
        <v>1062</v>
      </c>
      <c r="O167" s="188">
        <f>IF(Input!O64&lt;=$U$7,0,INT(((Input!O64-$U$7)*1.16%)+0.5))</f>
        <v>1062</v>
      </c>
      <c r="P167" s="188">
        <f>IF(Input!P64&lt;=$U$7,0,INT(((Input!P64-$U$7)*1.16%)+0.5))</f>
        <v>1062</v>
      </c>
      <c r="Q167" s="188">
        <f>IF(Input!Q64&lt;=$U$7,0,INT(((Input!Q64-$U$7)*1.16%)+0.5))</f>
        <v>1062</v>
      </c>
      <c r="R167" s="188">
        <f>IF(Input!R64&lt;=$U$7,0,INT(((Input!R64-$U$7)*1.16%)+0.5))</f>
        <v>1062</v>
      </c>
      <c r="S167" s="189">
        <f>SUM(G167:R167)</f>
        <v>12034</v>
      </c>
      <c r="T167" s="196"/>
      <c r="U167" s="95"/>
      <c r="V167" s="95"/>
      <c r="W167" s="3"/>
      <c r="X167" s="3"/>
      <c r="Y167" s="3"/>
      <c r="Z167" s="3"/>
    </row>
    <row r="168" ht="15.75" customHeight="1">
      <c r="A168" s="120">
        <v>39845.0</v>
      </c>
      <c r="B168" s="139" t="str">
        <f>Input!Q$42</f>
        <v/>
      </c>
      <c r="C168" s="3"/>
      <c r="D168" s="185"/>
      <c r="E168" s="161"/>
      <c r="F168" s="156" t="s">
        <v>213</v>
      </c>
      <c r="G168" s="160">
        <f t="shared" ref="G168:R168" si="93">IF(G165-G166&lt;=0,0,G165-G166)</f>
        <v>6997</v>
      </c>
      <c r="H168" s="160">
        <f t="shared" si="93"/>
        <v>6997</v>
      </c>
      <c r="I168" s="160">
        <f t="shared" si="93"/>
        <v>6997.3664</v>
      </c>
      <c r="J168" s="160">
        <f t="shared" si="93"/>
        <v>4168.4151</v>
      </c>
      <c r="K168" s="160">
        <f t="shared" si="93"/>
        <v>7249.2656</v>
      </c>
      <c r="L168" s="160">
        <f t="shared" si="93"/>
        <v>8250.0318</v>
      </c>
      <c r="M168" s="160">
        <f t="shared" si="93"/>
        <v>7628.6971</v>
      </c>
      <c r="N168" s="160">
        <f t="shared" si="93"/>
        <v>7628.6971</v>
      </c>
      <c r="O168" s="160">
        <f t="shared" si="93"/>
        <v>7628.6971</v>
      </c>
      <c r="P168" s="160">
        <f t="shared" si="93"/>
        <v>7628.6971</v>
      </c>
      <c r="Q168" s="160">
        <f t="shared" si="93"/>
        <v>7628.6971</v>
      </c>
      <c r="R168" s="160">
        <f t="shared" si="93"/>
        <v>7628.6971</v>
      </c>
      <c r="S168" s="160">
        <f>S165-S166+S167</f>
        <v>112216.4943</v>
      </c>
      <c r="T168" s="196"/>
      <c r="U168" s="95"/>
      <c r="V168" s="95"/>
      <c r="W168" s="3"/>
      <c r="X168" s="3"/>
      <c r="Y168" s="3"/>
      <c r="Z168" s="3"/>
    </row>
    <row r="169" ht="15.75" customHeight="1">
      <c r="A169" s="120">
        <v>39873.0</v>
      </c>
      <c r="B169" s="139" t="str">
        <f>#REF!</f>
        <v>#REF!</v>
      </c>
      <c r="C169" s="3"/>
      <c r="D169" s="185"/>
      <c r="E169" s="161" t="s">
        <v>214</v>
      </c>
      <c r="F169" s="156" t="s">
        <v>215</v>
      </c>
      <c r="G169" s="160" t="str">
        <f>IF(G164=0,0,IF($T$11&lt;=Input!G63,0,R161+R162+U162))</f>
        <v>#REF!</v>
      </c>
      <c r="H169" s="160">
        <f>IF(H164=0,0,IF($T$11&lt;=Input!H63,0,G168+G169))</f>
        <v>0</v>
      </c>
      <c r="I169" s="160">
        <f>IF(I164=0,0,IF($T$11&lt;=Input!I63,0,H168+H169))</f>
        <v>0</v>
      </c>
      <c r="J169" s="160">
        <f>IF(J164=0,0,IF($T$11&lt;=Input!J63,0,I168+I169))</f>
        <v>0</v>
      </c>
      <c r="K169" s="160">
        <f>IF(K164=0,0,IF($T$11&lt;=Input!K63,0,J168+J169))</f>
        <v>0</v>
      </c>
      <c r="L169" s="160">
        <f>IF(L164=0,0,IF($T$11&lt;=Input!L63,0,K168+K169))</f>
        <v>0</v>
      </c>
      <c r="M169" s="160">
        <f>IF(M164=0,0,IF($T$11&lt;=Input!M63,0,L168+L169))</f>
        <v>0</v>
      </c>
      <c r="N169" s="160">
        <f>IF(N164=0,0,IF($T$11&lt;=Input!N63,0,M168+M169))</f>
        <v>0</v>
      </c>
      <c r="O169" s="160">
        <f>IF(O164=0,0,IF($T$11&lt;=Input!O63,0,N168+N169))</f>
        <v>0</v>
      </c>
      <c r="P169" s="160">
        <f>IF(P164=0,0,IF($T$11&lt;=Input!P63,0,O168+O169))</f>
        <v>0</v>
      </c>
      <c r="Q169" s="160">
        <f>IF(Q164=0,0,IF($T$11&lt;=Input!Q63,0,P168+P169))</f>
        <v>0</v>
      </c>
      <c r="R169" s="160">
        <f>IF(R164=0,0,IF($T$11&lt;=Input!R63,0,Q168+Q169))</f>
        <v>0</v>
      </c>
      <c r="S169" s="115"/>
      <c r="T169" s="162">
        <f>SUM(G168:R168)</f>
        <v>86431.2615</v>
      </c>
      <c r="U169" s="160" t="str">
        <f>SUM(G170:R170)</f>
        <v>#REF!</v>
      </c>
      <c r="V169" s="160" t="str">
        <f>SUM(T169,U169)</f>
        <v>#REF!</v>
      </c>
      <c r="W169" s="3"/>
      <c r="X169" s="3"/>
      <c r="Y169" s="3"/>
      <c r="Z169" s="3"/>
    </row>
    <row r="170" ht="15.75" customHeight="1">
      <c r="A170" s="120">
        <v>39904.0</v>
      </c>
      <c r="B170" s="139">
        <f>Input!R$42</f>
        <v>174178</v>
      </c>
      <c r="C170" s="3"/>
      <c r="D170" s="185"/>
      <c r="E170" s="164">
        <v>0.085</v>
      </c>
      <c r="F170" s="165" t="s">
        <v>216</v>
      </c>
      <c r="G170" s="97" t="str">
        <f t="shared" ref="G170:R170" si="94">G169/12*$E170</f>
        <v>#REF!</v>
      </c>
      <c r="H170" s="160">
        <f t="shared" si="94"/>
        <v>0</v>
      </c>
      <c r="I170" s="160">
        <f t="shared" si="94"/>
        <v>0</v>
      </c>
      <c r="J170" s="160">
        <f t="shared" si="94"/>
        <v>0</v>
      </c>
      <c r="K170" s="160">
        <f t="shared" si="94"/>
        <v>0</v>
      </c>
      <c r="L170" s="160">
        <f t="shared" si="94"/>
        <v>0</v>
      </c>
      <c r="M170" s="160">
        <f t="shared" si="94"/>
        <v>0</v>
      </c>
      <c r="N170" s="160">
        <f t="shared" si="94"/>
        <v>0</v>
      </c>
      <c r="O170" s="160">
        <f t="shared" si="94"/>
        <v>0</v>
      </c>
      <c r="P170" s="160">
        <f t="shared" si="94"/>
        <v>0</v>
      </c>
      <c r="Q170" s="160">
        <f t="shared" si="94"/>
        <v>0</v>
      </c>
      <c r="R170" s="160">
        <f t="shared" si="94"/>
        <v>0</v>
      </c>
      <c r="S170" s="115"/>
      <c r="T170" s="168" t="str">
        <f t="shared" ref="T170:V170" si="95">SUM(T19,T25,T31,T37,T43,T49,T55,T61,T67,T73,T79,T85,T91,T97,T103,T109,T115,T121,T127,T134,T141,T148,T155,T162,T169)</f>
        <v>#REF!</v>
      </c>
      <c r="U170" s="169" t="str">
        <f t="shared" si="95"/>
        <v>#REF!</v>
      </c>
      <c r="V170" s="169" t="str">
        <f t="shared" si="95"/>
        <v>#REF!</v>
      </c>
      <c r="W170" s="3"/>
      <c r="X170" s="3"/>
      <c r="Y170" s="3"/>
      <c r="Z170" s="3"/>
    </row>
    <row r="171" ht="15.75" customHeight="1">
      <c r="A171" s="120">
        <v>39934.0</v>
      </c>
      <c r="B171" s="139">
        <f>Input!G$44</f>
        <v>28963</v>
      </c>
      <c r="C171" s="3"/>
      <c r="D171" s="183">
        <v>26.0</v>
      </c>
      <c r="E171" s="161" t="s">
        <v>46</v>
      </c>
      <c r="F171" s="155" t="s">
        <v>210</v>
      </c>
      <c r="G171" s="171">
        <v>43922.0</v>
      </c>
      <c r="H171" s="171">
        <v>43952.0</v>
      </c>
      <c r="I171" s="171">
        <v>43983.0</v>
      </c>
      <c r="J171" s="171">
        <v>44013.0</v>
      </c>
      <c r="K171" s="171">
        <v>44044.0</v>
      </c>
      <c r="L171" s="171">
        <v>44075.0</v>
      </c>
      <c r="M171" s="171">
        <v>44105.0</v>
      </c>
      <c r="N171" s="171">
        <v>44136.0</v>
      </c>
      <c r="O171" s="171">
        <v>44166.0</v>
      </c>
      <c r="P171" s="171">
        <v>44197.0</v>
      </c>
      <c r="Q171" s="171">
        <v>44228.0</v>
      </c>
      <c r="R171" s="171">
        <v>44256.0</v>
      </c>
      <c r="S171" s="97">
        <f>SUM(Input!G66:R66)</f>
        <v>1307475</v>
      </c>
      <c r="T171" s="196"/>
      <c r="U171" s="95"/>
      <c r="V171" s="95"/>
      <c r="W171" s="3"/>
      <c r="X171" s="3"/>
      <c r="Y171" s="3"/>
      <c r="Z171" s="3"/>
    </row>
    <row r="172" ht="15.75" customHeight="1">
      <c r="A172" s="120">
        <v>39965.0</v>
      </c>
      <c r="B172" s="139">
        <f>Input!H$44</f>
        <v>28963</v>
      </c>
      <c r="C172" s="3"/>
      <c r="D172" s="185"/>
      <c r="E172" s="161"/>
      <c r="F172" s="156" t="s">
        <v>211</v>
      </c>
      <c r="G172" s="159">
        <f>IF(Input!G66=0,0,INT((Input!G66*8.33/100)+0.5))</f>
        <v>8879</v>
      </c>
      <c r="H172" s="159">
        <f>IF(Input!H66=0,0,INT((Input!H66*8.33/100)+0.5))</f>
        <v>8879</v>
      </c>
      <c r="I172" s="159">
        <f>IF(Input!I66=0,0,INT((Input!I66*8.33/100)+0.5))</f>
        <v>8879</v>
      </c>
      <c r="J172" s="159">
        <f>IF(Input!J66=0,0,INT((Input!J66*8.33/100)+0.5))</f>
        <v>9142</v>
      </c>
      <c r="K172" s="159">
        <f>IF(Input!K66=0,0,INT((Input!K66*8.33/100)+0.5))</f>
        <v>9142</v>
      </c>
      <c r="L172" s="159">
        <f>IF(Input!L66=0,0,INT((Input!L66*8.33/100)+0.5))</f>
        <v>9142</v>
      </c>
      <c r="M172" s="159">
        <f>IF(Input!M66=0,0,INT((Input!M66*8.33/100)+0.5))</f>
        <v>9142</v>
      </c>
      <c r="N172" s="159">
        <f>IF(Input!N66=0,0,INT((Input!N66*8.33/100)+0.5))</f>
        <v>9142</v>
      </c>
      <c r="O172" s="159">
        <f>IF(Input!O66=0,0,INT((Input!O66*8.33/100)+0.5))</f>
        <v>9142</v>
      </c>
      <c r="P172" s="159">
        <f>IF(Input!P66=0,0,INT((Input!P66*8.33/100)+0.5))</f>
        <v>9142</v>
      </c>
      <c r="Q172" s="159">
        <f>IF(Input!Q66=0,0,INT((Input!Q66*8.33/100)+0.5))</f>
        <v>9142</v>
      </c>
      <c r="R172" s="159">
        <f>IF(Input!R66=0,0,INT((Input!R66*8.33/100)+0.5))</f>
        <v>9142</v>
      </c>
      <c r="S172" s="160">
        <f>IF(S171=0,0,S171*8.33/100)</f>
        <v>108912.6675</v>
      </c>
      <c r="T172" s="196"/>
      <c r="U172" s="95"/>
      <c r="V172" s="95"/>
      <c r="W172" s="3"/>
      <c r="X172" s="3"/>
      <c r="Y172" s="3"/>
      <c r="Z172" s="3"/>
    </row>
    <row r="173" ht="15.75" customHeight="1">
      <c r="A173" s="120">
        <v>39995.0</v>
      </c>
      <c r="B173" s="139">
        <f>Input!I$44</f>
        <v>31813</v>
      </c>
      <c r="C173" s="3"/>
      <c r="D173" s="185"/>
      <c r="E173" s="161"/>
      <c r="F173" s="156" t="s">
        <v>212</v>
      </c>
      <c r="G173" s="159">
        <f>IF(Input!G66&lt;=$U$7,INT((Input!G66*8.33%)+0.5),INT(($U$7*8.33%)+0.5))</f>
        <v>1250</v>
      </c>
      <c r="H173" s="159">
        <f>IF(Input!H66&lt;=$U$7,INT((Input!H66*8.33%)+0.5),INT(($U$7*8.33%)+0.5))</f>
        <v>1250</v>
      </c>
      <c r="I173" s="159">
        <f>IF(Input!I66&lt;=$U$7,INT((Input!I66*8.33%)+0.5),INT(($U$7*8.33%)+0.5))</f>
        <v>1250</v>
      </c>
      <c r="J173" s="159">
        <f>IF(Input!J66&lt;=$U$7,INT((Input!J66*8.33%)+0.5),INT(($U$7*8.33%)+0.5))</f>
        <v>1250</v>
      </c>
      <c r="K173" s="159">
        <f>IF(Input!K66&lt;=$U$7,INT((Input!K66*8.33%)+0.5),INT(($U$7*8.33%)+0.5))</f>
        <v>1250</v>
      </c>
      <c r="L173" s="159">
        <f>IF(Input!L66&lt;=$U$7,INT((Input!L66*8.33%)+0.5),INT(($U$7*8.33%)+0.5))</f>
        <v>1250</v>
      </c>
      <c r="M173" s="159">
        <f>IF(Input!M66&lt;=$U$7,INT((Input!M66*8.33%)+0.5),INT(($U$7*8.33%)+0.5))</f>
        <v>1250</v>
      </c>
      <c r="N173" s="159">
        <f>IF(Input!N66&lt;=$U$7,INT((Input!N66*8.33%)+0.5),INT(($U$7*8.33%)+0.5))</f>
        <v>1250</v>
      </c>
      <c r="O173" s="159">
        <f>IF(Input!O66&lt;=$U$7,INT((Input!O66*8.33%)+0.5),INT(($U$7*8.33%)+0.5))</f>
        <v>1250</v>
      </c>
      <c r="P173" s="159">
        <f>IF(Input!P66&lt;=$U$7,INT((Input!P66*8.33%)+0.5),INT(($U$7*8.33%)+0.5))</f>
        <v>1250</v>
      </c>
      <c r="Q173" s="159">
        <f>IF(Input!Q66&lt;=$U$7,INT((Input!Q66*8.33%)+0.5),INT(($U$7*8.33%)+0.5))</f>
        <v>1250</v>
      </c>
      <c r="R173" s="159">
        <f>IF(Input!R66&lt;=$U$7,INT((Input!R66*8.33%)+0.5),INT(($U$7*8.33%)+0.5))</f>
        <v>1250</v>
      </c>
      <c r="S173" s="160">
        <f>IF(S171=0,0,$U$7*8.33%)</f>
        <v>1249.5</v>
      </c>
      <c r="T173" s="196"/>
      <c r="U173" s="95"/>
      <c r="V173" s="95"/>
      <c r="W173" s="3"/>
      <c r="X173" s="3"/>
      <c r="Y173" s="3"/>
      <c r="Z173" s="3"/>
    </row>
    <row r="174" ht="15.75" customHeight="1">
      <c r="A174" s="120">
        <v>40026.0</v>
      </c>
      <c r="B174" s="139">
        <f>Input!J$44</f>
        <v>29841</v>
      </c>
      <c r="C174" s="3"/>
      <c r="D174" s="185"/>
      <c r="E174" s="161"/>
      <c r="F174" s="187" t="s">
        <v>219</v>
      </c>
      <c r="G174" s="188">
        <f>IF(Input!G66&lt;=$U$7,0,INT(((Input!G66-$U$7)*1.16%)+0.5))</f>
        <v>1062</v>
      </c>
      <c r="H174" s="188">
        <f>IF(Input!H66&lt;=$U$7,0,INT(((Input!H66-$U$7)*1.16%)+0.5))</f>
        <v>1062</v>
      </c>
      <c r="I174" s="188">
        <f>IF(Input!I66&lt;=$U$7,0,INT(((Input!I66-$U$7)*1.16%)+0.5))</f>
        <v>1062</v>
      </c>
      <c r="J174" s="188">
        <f>IF(Input!J66&lt;=$U$7,0,INT(((Input!J66-$U$7)*1.16%)+0.5))</f>
        <v>1099</v>
      </c>
      <c r="K174" s="188">
        <f>IF(Input!K66&lt;=$U$7,0,INT(((Input!K66-$U$7)*1.16%)+0.5))</f>
        <v>1099</v>
      </c>
      <c r="L174" s="188">
        <f>IF(Input!L66&lt;=$U$7,0,INT(((Input!L66-$U$7)*1.16%)+0.5))</f>
        <v>1099</v>
      </c>
      <c r="M174" s="188">
        <f>IF(Input!M66&lt;=$U$7,0,INT(((Input!M66-$U$7)*1.16%)+0.5))</f>
        <v>1099</v>
      </c>
      <c r="N174" s="188">
        <f>IF(Input!N66&lt;=$U$7,0,INT(((Input!N66-$U$7)*1.16%)+0.5))</f>
        <v>1099</v>
      </c>
      <c r="O174" s="188">
        <f>IF(Input!O66&lt;=$U$7,0,INT(((Input!O66-$U$7)*1.16%)+0.5))</f>
        <v>1099</v>
      </c>
      <c r="P174" s="188">
        <f>IF(Input!P66&lt;=$U$7,0,INT(((Input!P66-$U$7)*1.16%)+0.5))</f>
        <v>1099</v>
      </c>
      <c r="Q174" s="188">
        <f>IF(Input!Q66&lt;=$U$7,0,INT(((Input!Q66-$U$7)*1.16%)+0.5))</f>
        <v>1099</v>
      </c>
      <c r="R174" s="188">
        <f>IF(Input!R66&lt;=$U$7,0,INT(((Input!R66-$U$7)*1.16%)+0.5))</f>
        <v>1099</v>
      </c>
      <c r="S174" s="189">
        <f>SUM(G174:R174)</f>
        <v>13077</v>
      </c>
      <c r="T174" s="196"/>
      <c r="U174" s="95"/>
      <c r="V174" s="95"/>
      <c r="W174" s="3"/>
      <c r="X174" s="3"/>
      <c r="Y174" s="3"/>
      <c r="Z174" s="3"/>
    </row>
    <row r="175" ht="15.75" customHeight="1">
      <c r="A175" s="120">
        <v>40057.0</v>
      </c>
      <c r="B175" s="139">
        <f>Input!K$44</f>
        <v>29841</v>
      </c>
      <c r="C175" s="3"/>
      <c r="D175" s="185"/>
      <c r="E175" s="161"/>
      <c r="F175" s="156" t="s">
        <v>213</v>
      </c>
      <c r="G175" s="160">
        <f t="shared" ref="G175:R175" si="96">IF(G172-G173&lt;=0,0,G172-G173)</f>
        <v>7629</v>
      </c>
      <c r="H175" s="160">
        <f t="shared" si="96"/>
        <v>7629</v>
      </c>
      <c r="I175" s="160">
        <f t="shared" si="96"/>
        <v>7629</v>
      </c>
      <c r="J175" s="160">
        <f t="shared" si="96"/>
        <v>7892</v>
      </c>
      <c r="K175" s="160">
        <f t="shared" si="96"/>
        <v>7892</v>
      </c>
      <c r="L175" s="160">
        <f t="shared" si="96"/>
        <v>7892</v>
      </c>
      <c r="M175" s="160">
        <f t="shared" si="96"/>
        <v>7892</v>
      </c>
      <c r="N175" s="160">
        <f t="shared" si="96"/>
        <v>7892</v>
      </c>
      <c r="O175" s="160">
        <f t="shared" si="96"/>
        <v>7892</v>
      </c>
      <c r="P175" s="160">
        <f t="shared" si="96"/>
        <v>7892</v>
      </c>
      <c r="Q175" s="160">
        <f t="shared" si="96"/>
        <v>7892</v>
      </c>
      <c r="R175" s="160">
        <f t="shared" si="96"/>
        <v>7892</v>
      </c>
      <c r="S175" s="160">
        <f>S172-S173+S174</f>
        <v>120740.1675</v>
      </c>
      <c r="T175" s="196"/>
      <c r="U175" s="95"/>
      <c r="V175" s="95"/>
      <c r="W175" s="3"/>
      <c r="X175" s="3"/>
      <c r="Y175" s="3"/>
      <c r="Z175" s="3"/>
    </row>
    <row r="176" ht="15.75" customHeight="1">
      <c r="A176" s="120">
        <v>40087.0</v>
      </c>
      <c r="B176" s="139">
        <f>Input!L$44</f>
        <v>29841</v>
      </c>
      <c r="C176" s="3"/>
      <c r="D176" s="185"/>
      <c r="E176" s="161" t="s">
        <v>214</v>
      </c>
      <c r="F176" s="156" t="s">
        <v>215</v>
      </c>
      <c r="G176" s="160">
        <f>IF(G171=0,0,IF($T$11&lt;=Input!G65,0,R168+R169+U169))</f>
        <v>0</v>
      </c>
      <c r="H176" s="160">
        <f>IF(H171=0,0,IF($T$11&lt;=Input!H65,0,G175+G176))</f>
        <v>0</v>
      </c>
      <c r="I176" s="160">
        <f>IF(I171=0,0,IF($T$11&lt;=Input!I65,0,H175+H176))</f>
        <v>0</v>
      </c>
      <c r="J176" s="160">
        <f>IF(J171=0,0,IF($T$11&lt;=Input!J65,0,I175+I176))</f>
        <v>0</v>
      </c>
      <c r="K176" s="160">
        <f>IF(K171=0,0,IF($T$11&lt;=Input!K65,0,J175+J176))</f>
        <v>0</v>
      </c>
      <c r="L176" s="160">
        <f>IF(L171=0,0,IF($T$11&lt;=Input!L65,0,K175+K176))</f>
        <v>0</v>
      </c>
      <c r="M176" s="160">
        <f>IF(M171=0,0,IF($T$11&lt;=Input!M65,0,L175+L176))</f>
        <v>0</v>
      </c>
      <c r="N176" s="160">
        <f>IF(N171=0,0,IF($T$11&lt;=Input!N65,0,M175+M176))</f>
        <v>0</v>
      </c>
      <c r="O176" s="160">
        <f>IF(O171=0,0,IF($T$11&lt;=Input!O65,0,N175+N176))</f>
        <v>0</v>
      </c>
      <c r="P176" s="160">
        <f>IF(P171=0,0,IF($T$11&lt;=Input!P65,0,O175+O176))</f>
        <v>0</v>
      </c>
      <c r="Q176" s="160">
        <f>IF(Q171=0,0,IF($T$11&lt;=Input!Q65,0,P175+P176))</f>
        <v>0</v>
      </c>
      <c r="R176" s="160">
        <f>IF(R171=0,0,IF($T$11&lt;=Input!R65,0,Q175+Q176))</f>
        <v>0</v>
      </c>
      <c r="S176" s="115"/>
      <c r="T176" s="162">
        <f>SUM(G175:R175)</f>
        <v>93915</v>
      </c>
      <c r="U176" s="160">
        <f>SUM(G177:R177)</f>
        <v>0</v>
      </c>
      <c r="V176" s="160">
        <f>SUM(T176,U176)</f>
        <v>93915</v>
      </c>
      <c r="W176" s="3"/>
      <c r="X176" s="3"/>
      <c r="Y176" s="3"/>
      <c r="Z176" s="3"/>
    </row>
    <row r="177" ht="15.75" customHeight="1">
      <c r="A177" s="120">
        <v>40118.0</v>
      </c>
      <c r="B177" s="139">
        <f>Input!M$44</f>
        <v>31064</v>
      </c>
      <c r="C177" s="3"/>
      <c r="D177" s="185"/>
      <c r="E177" s="164">
        <v>0.085</v>
      </c>
      <c r="F177" s="165" t="s">
        <v>216</v>
      </c>
      <c r="G177" s="97">
        <f t="shared" ref="G177:R177" si="97">G176/12*$E177</f>
        <v>0</v>
      </c>
      <c r="H177" s="160">
        <f t="shared" si="97"/>
        <v>0</v>
      </c>
      <c r="I177" s="160">
        <f t="shared" si="97"/>
        <v>0</v>
      </c>
      <c r="J177" s="160">
        <f t="shared" si="97"/>
        <v>0</v>
      </c>
      <c r="K177" s="160">
        <f t="shared" si="97"/>
        <v>0</v>
      </c>
      <c r="L177" s="160">
        <f t="shared" si="97"/>
        <v>0</v>
      </c>
      <c r="M177" s="160">
        <f t="shared" si="97"/>
        <v>0</v>
      </c>
      <c r="N177" s="160">
        <f t="shared" si="97"/>
        <v>0</v>
      </c>
      <c r="O177" s="160">
        <f t="shared" si="97"/>
        <v>0</v>
      </c>
      <c r="P177" s="160">
        <f t="shared" si="97"/>
        <v>0</v>
      </c>
      <c r="Q177" s="160">
        <f t="shared" si="97"/>
        <v>0</v>
      </c>
      <c r="R177" s="160">
        <f t="shared" si="97"/>
        <v>0</v>
      </c>
      <c r="S177" s="115"/>
      <c r="T177" s="168" t="str">
        <f t="shared" ref="T177:V177" si="98">SUM(T19,T25,T31,T37,T43,T49,T55,T61,T67,T73,T79,T85,T91,T97,T103,T109,T115,T121,T127,T134,T141,T148,T155,T162,T169,T176)</f>
        <v>#REF!</v>
      </c>
      <c r="U177" s="169" t="str">
        <f t="shared" si="98"/>
        <v>#REF!</v>
      </c>
      <c r="V177" s="169" t="str">
        <f t="shared" si="98"/>
        <v>#REF!</v>
      </c>
      <c r="W177" s="3"/>
      <c r="X177" s="3"/>
      <c r="Y177" s="3"/>
      <c r="Z177" s="3"/>
    </row>
    <row r="178" ht="15.75" customHeight="1">
      <c r="A178" s="120">
        <v>40148.0</v>
      </c>
      <c r="B178" s="139">
        <f>Input!N$44</f>
        <v>31064</v>
      </c>
      <c r="C178" s="3"/>
      <c r="D178" s="183">
        <v>27.0</v>
      </c>
      <c r="E178" s="161" t="s">
        <v>47</v>
      </c>
      <c r="F178" s="155" t="s">
        <v>210</v>
      </c>
      <c r="G178" s="171">
        <v>44287.0</v>
      </c>
      <c r="H178" s="171">
        <v>44317.0</v>
      </c>
      <c r="I178" s="171">
        <v>44348.0</v>
      </c>
      <c r="J178" s="171">
        <v>44378.0</v>
      </c>
      <c r="K178" s="171">
        <v>44409.0</v>
      </c>
      <c r="L178" s="171">
        <v>44440.0</v>
      </c>
      <c r="M178" s="171">
        <v>44470.0</v>
      </c>
      <c r="N178" s="171">
        <v>44501.0</v>
      </c>
      <c r="O178" s="171">
        <v>44531.0</v>
      </c>
      <c r="P178" s="171">
        <v>44562.0</v>
      </c>
      <c r="Q178" s="171">
        <v>44593.0</v>
      </c>
      <c r="R178" s="171">
        <v>44621.0</v>
      </c>
      <c r="S178" s="97">
        <f>SUM(Input!G68:R68)</f>
        <v>109746</v>
      </c>
      <c r="T178" s="196"/>
      <c r="U178" s="95"/>
      <c r="V178" s="95"/>
      <c r="W178" s="3"/>
      <c r="X178" s="3"/>
      <c r="Y178" s="3"/>
      <c r="Z178" s="3"/>
    </row>
    <row r="179" ht="15.75" customHeight="1">
      <c r="A179" s="120">
        <v>40179.0</v>
      </c>
      <c r="B179" s="139">
        <f>Input!O$44</f>
        <v>34721</v>
      </c>
      <c r="C179" s="3"/>
      <c r="D179" s="185"/>
      <c r="E179" s="161"/>
      <c r="F179" s="156" t="s">
        <v>211</v>
      </c>
      <c r="G179" s="159">
        <f>IF(Input!G68=0,0,INT((Input!G68*8.33/100)+0.5))</f>
        <v>9142</v>
      </c>
      <c r="H179" s="159">
        <f>IF(Input!H68=0,0,INT((Input!H68*8.33/100)+0.5))</f>
        <v>0</v>
      </c>
      <c r="I179" s="159">
        <f>IF(Input!I68=0,0,INT((Input!I68*8.33/100)+0.5))</f>
        <v>0</v>
      </c>
      <c r="J179" s="159">
        <f>IF(Input!J68=0,0,INT((Input!J68*8.33/100)+0.5))</f>
        <v>0</v>
      </c>
      <c r="K179" s="159">
        <f>IF(Input!K68=0,0,INT((Input!K68*8.33/100)+0.5))</f>
        <v>0</v>
      </c>
      <c r="L179" s="159">
        <f>IF(Input!L68=0,0,INT((Input!L68*8.33/100)+0.5))</f>
        <v>0</v>
      </c>
      <c r="M179" s="159">
        <f>IF(Input!M68=0,0,INT((Input!M68*8.33/100)+0.5))</f>
        <v>0</v>
      </c>
      <c r="N179" s="159">
        <f>IF(Input!N68=0,0,INT((Input!N68*8.33/100)+0.5))</f>
        <v>0</v>
      </c>
      <c r="O179" s="159">
        <f>IF(Input!O68=0,0,INT((Input!O68*8.33/100)+0.5))</f>
        <v>0</v>
      </c>
      <c r="P179" s="159">
        <f>IF(Input!P68=0,0,INT((Input!P68*8.33/100)+0.5))</f>
        <v>0</v>
      </c>
      <c r="Q179" s="159">
        <f>IF(Input!Q68=0,0,INT((Input!Q68*8.33/100)+0.5))</f>
        <v>0</v>
      </c>
      <c r="R179" s="159">
        <f>IF(Input!R68=0,0,INT((Input!R68*8.33/100)+0.5))</f>
        <v>0</v>
      </c>
      <c r="S179" s="160">
        <f>IF(S178=0,0,S178*8.33/100)</f>
        <v>9141.8418</v>
      </c>
      <c r="T179" s="196"/>
      <c r="U179" s="95"/>
      <c r="V179" s="95"/>
      <c r="W179" s="3"/>
      <c r="X179" s="3"/>
      <c r="Y179" s="3"/>
      <c r="Z179" s="3"/>
    </row>
    <row r="180" ht="15.75" customHeight="1">
      <c r="A180" s="120">
        <v>40210.0</v>
      </c>
      <c r="B180" s="139">
        <f>Input!P$44</f>
        <v>31052</v>
      </c>
      <c r="C180" s="3"/>
      <c r="D180" s="185"/>
      <c r="E180" s="161"/>
      <c r="F180" s="156" t="s">
        <v>212</v>
      </c>
      <c r="G180" s="159">
        <f>IF(Input!G68&lt;=$U$7,INT((Input!G68*8.33%)+0.5),INT(($U$7*8.33%)+0.5))</f>
        <v>1250</v>
      </c>
      <c r="H180" s="159">
        <f>IF(Input!H68&lt;=$U$7,INT((Input!H68*8.33%)+0.5),INT(($U$7*8.33%)+0.5))</f>
        <v>0</v>
      </c>
      <c r="I180" s="159">
        <f>IF(Input!I68&lt;=$U$7,INT((Input!I68*8.33%)+0.5),INT(($U$7*8.33%)+0.5))</f>
        <v>0</v>
      </c>
      <c r="J180" s="159">
        <f>IF(Input!J68&lt;=$U$7,INT((Input!J68*8.33%)+0.5),INT(($U$7*8.33%)+0.5))</f>
        <v>0</v>
      </c>
      <c r="K180" s="159">
        <f>IF(Input!K68&lt;=$U$7,INT((Input!K68*8.33%)+0.5),INT(($U$7*8.33%)+0.5))</f>
        <v>0</v>
      </c>
      <c r="L180" s="159">
        <f>IF(Input!L68&lt;=$U$7,INT((Input!L68*8.33%)+0.5),INT(($U$7*8.33%)+0.5))</f>
        <v>0</v>
      </c>
      <c r="M180" s="159">
        <f>IF(Input!M68&lt;=$U$7,INT((Input!M68*8.33%)+0.5),INT(($U$7*8.33%)+0.5))</f>
        <v>0</v>
      </c>
      <c r="N180" s="159">
        <f>IF(Input!N68&lt;=$U$7,INT((Input!N68*8.33%)+0.5),INT(($U$7*8.33%)+0.5))</f>
        <v>0</v>
      </c>
      <c r="O180" s="159">
        <f>IF(Input!O68&lt;=$U$7,INT((Input!O68*8.33%)+0.5),INT(($U$7*8.33%)+0.5))</f>
        <v>0</v>
      </c>
      <c r="P180" s="159">
        <f>IF(Input!P68&lt;=$U$7,INT((Input!P68*8.33%)+0.5),INT(($U$7*8.33%)+0.5))</f>
        <v>0</v>
      </c>
      <c r="Q180" s="159">
        <f>IF(Input!Q68&lt;=$U$7,INT((Input!Q68*8.33%)+0.5),INT(($U$7*8.33%)+0.5))</f>
        <v>0</v>
      </c>
      <c r="R180" s="159">
        <f>IF(Input!R68&lt;=$U$7,INT((Input!R68*8.33%)+0.5),INT(($U$7*8.33%)+0.5))</f>
        <v>0</v>
      </c>
      <c r="S180" s="160">
        <f>IF(S178=0,0,$U$7*8.33%)</f>
        <v>1249.5</v>
      </c>
      <c r="T180" s="196"/>
      <c r="U180" s="95"/>
      <c r="V180" s="95"/>
      <c r="W180" s="3"/>
      <c r="X180" s="3"/>
      <c r="Y180" s="3"/>
      <c r="Z180" s="3"/>
    </row>
    <row r="181" ht="15.75" customHeight="1">
      <c r="A181" s="120">
        <v>40238.0</v>
      </c>
      <c r="B181" s="139" t="str">
        <f>#REF!</f>
        <v>#REF!</v>
      </c>
      <c r="C181" s="3"/>
      <c r="D181" s="185"/>
      <c r="E181" s="161"/>
      <c r="F181" s="187" t="s">
        <v>219</v>
      </c>
      <c r="G181" s="188">
        <f>IF(Input!G68&lt;=$U$7,0,INT(((Input!G68-$U$7)*1.16%)+0.5))</f>
        <v>1099</v>
      </c>
      <c r="H181" s="188">
        <f>IF(Input!H68&lt;=$U$7,0,INT(((Input!H68-$U$7)*1.16%)+0.5))</f>
        <v>0</v>
      </c>
      <c r="I181" s="188">
        <f>IF(Input!I68&lt;=$U$7,0,INT(((Input!I68-$U$7)*1.16%)+0.5))</f>
        <v>0</v>
      </c>
      <c r="J181" s="188">
        <f>IF(Input!J68&lt;=$U$7,0,INT(((Input!J68-$U$7)*1.16%)+0.5))</f>
        <v>0</v>
      </c>
      <c r="K181" s="188">
        <f>IF(Input!K68&lt;=$U$7,0,INT(((Input!K68-$U$7)*1.16%)+0.5))</f>
        <v>0</v>
      </c>
      <c r="L181" s="188">
        <f>IF(Input!L68&lt;=$U$7,0,INT(((Input!L68-$U$7)*1.16%)+0.5))</f>
        <v>0</v>
      </c>
      <c r="M181" s="188">
        <f>IF(Input!M68&lt;=$U$7,0,INT(((Input!M68-$U$7)*1.16%)+0.5))</f>
        <v>0</v>
      </c>
      <c r="N181" s="188">
        <f>IF(Input!N68&lt;=$U$7,0,INT(((Input!N68-$U$7)*1.16%)+0.5))</f>
        <v>0</v>
      </c>
      <c r="O181" s="188">
        <f>IF(Input!O68&lt;=$U$7,0,INT(((Input!O68-$U$7)*1.16%)+0.5))</f>
        <v>0</v>
      </c>
      <c r="P181" s="188">
        <f>IF(Input!P68&lt;=$U$7,0,INT(((Input!P68-$U$7)*1.16%)+0.5))</f>
        <v>0</v>
      </c>
      <c r="Q181" s="188">
        <f>IF(Input!Q68&lt;=$U$7,0,INT(((Input!Q68-$U$7)*1.16%)+0.5))</f>
        <v>0</v>
      </c>
      <c r="R181" s="188">
        <f>IF(Input!R68&lt;=$U$7,0,INT(((Input!R68-$U$7)*1.16%)+0.5))</f>
        <v>0</v>
      </c>
      <c r="S181" s="189">
        <f>SUM(G181:R181)</f>
        <v>1099</v>
      </c>
      <c r="T181" s="196"/>
      <c r="U181" s="95"/>
      <c r="V181" s="95"/>
      <c r="W181" s="3"/>
      <c r="X181" s="3"/>
      <c r="Y181" s="3"/>
      <c r="Z181" s="3"/>
    </row>
    <row r="182" ht="15.75" customHeight="1">
      <c r="A182" s="120">
        <v>40269.0</v>
      </c>
      <c r="B182" s="139">
        <f>Input!R$44</f>
        <v>31052</v>
      </c>
      <c r="C182" s="3"/>
      <c r="D182" s="185"/>
      <c r="E182" s="161"/>
      <c r="F182" s="156" t="s">
        <v>213</v>
      </c>
      <c r="G182" s="160">
        <f t="shared" ref="G182:R182" si="99">IF(G179-G180&lt;=0,0,G179-G180)</f>
        <v>7892</v>
      </c>
      <c r="H182" s="160">
        <f t="shared" si="99"/>
        <v>0</v>
      </c>
      <c r="I182" s="160">
        <f t="shared" si="99"/>
        <v>0</v>
      </c>
      <c r="J182" s="160">
        <f t="shared" si="99"/>
        <v>0</v>
      </c>
      <c r="K182" s="160">
        <f t="shared" si="99"/>
        <v>0</v>
      </c>
      <c r="L182" s="160">
        <f t="shared" si="99"/>
        <v>0</v>
      </c>
      <c r="M182" s="160">
        <f t="shared" si="99"/>
        <v>0</v>
      </c>
      <c r="N182" s="160">
        <f t="shared" si="99"/>
        <v>0</v>
      </c>
      <c r="O182" s="160">
        <f t="shared" si="99"/>
        <v>0</v>
      </c>
      <c r="P182" s="160">
        <f t="shared" si="99"/>
        <v>0</v>
      </c>
      <c r="Q182" s="160">
        <f t="shared" si="99"/>
        <v>0</v>
      </c>
      <c r="R182" s="160">
        <f t="shared" si="99"/>
        <v>0</v>
      </c>
      <c r="S182" s="160">
        <f>S179-S180+S181</f>
        <v>8991.3418</v>
      </c>
      <c r="T182" s="196"/>
      <c r="U182" s="95"/>
      <c r="V182" s="95"/>
      <c r="W182" s="3"/>
      <c r="X182" s="3"/>
      <c r="Y182" s="3"/>
      <c r="Z182" s="3"/>
    </row>
    <row r="183" ht="15.75" customHeight="1">
      <c r="A183" s="120">
        <v>40299.0</v>
      </c>
      <c r="B183" s="139">
        <f>Input!G$46</f>
        <v>38876</v>
      </c>
      <c r="C183" s="3"/>
      <c r="D183" s="185"/>
      <c r="E183" s="161" t="s">
        <v>214</v>
      </c>
      <c r="F183" s="156" t="s">
        <v>215</v>
      </c>
      <c r="G183" s="160">
        <f>IF(G178=0,0,IF($T$11&lt;=Input!G67,0,R175+R176+U176))</f>
        <v>0</v>
      </c>
      <c r="H183" s="160">
        <f>IF(H178=0,0,IF($T$11&lt;=Input!H72,0,G182+G183))</f>
        <v>7892</v>
      </c>
      <c r="I183" s="160">
        <f>IF(I178=0,0,IF($T$11&lt;=Input!I72,0,H182+H183))</f>
        <v>7892</v>
      </c>
      <c r="J183" s="160">
        <f>IF(J178=0,0,IF($T$11&lt;=Input!J72,0,I182+I183))</f>
        <v>7892</v>
      </c>
      <c r="K183" s="160">
        <f>IF(K178=0,0,IF($T$11&lt;=Input!K72,0,J182+J183))</f>
        <v>7892</v>
      </c>
      <c r="L183" s="160">
        <f>IF(L178=0,0,IF($T$11&lt;=Input!L72,0,K182+K183))</f>
        <v>7892</v>
      </c>
      <c r="M183" s="160">
        <f>IF(M178=0,0,IF($T$11&lt;=Input!M72,0,L182+L183))</f>
        <v>7892</v>
      </c>
      <c r="N183" s="160">
        <f>IF(N178=0,0,IF($T$11&lt;=Input!N72,0,M182+M183))</f>
        <v>7892</v>
      </c>
      <c r="O183" s="160">
        <f>IF(O178=0,0,IF($T$11&lt;=Input!O72,0,N182+N183))</f>
        <v>7892</v>
      </c>
      <c r="P183" s="160">
        <f>IF(P178=0,0,IF($T$11&lt;=Input!P72,0,O182+O183))</f>
        <v>7892</v>
      </c>
      <c r="Q183" s="160">
        <f>IF(Q178=0,0,IF($T$11&lt;=Input!Q72,0,P182+P183))</f>
        <v>7892</v>
      </c>
      <c r="R183" s="160">
        <f>IF(R178=0,0,IF($T$11&lt;=Input!R72,0,Q182+Q183))</f>
        <v>7892</v>
      </c>
      <c r="S183" s="115"/>
      <c r="T183" s="162">
        <f>SUM(G182:R182)</f>
        <v>7892</v>
      </c>
      <c r="U183" s="160">
        <f>SUM(G184:R184)</f>
        <v>585.981</v>
      </c>
      <c r="V183" s="160">
        <f>SUM(T183,U183)</f>
        <v>8477.981</v>
      </c>
      <c r="W183" s="3"/>
      <c r="X183" s="3"/>
      <c r="Y183" s="3"/>
      <c r="Z183" s="3"/>
    </row>
    <row r="184" ht="15.75" customHeight="1">
      <c r="A184" s="120">
        <v>40330.0</v>
      </c>
      <c r="B184" s="139">
        <f>Input!H$46</f>
        <v>33008</v>
      </c>
      <c r="C184" s="3"/>
      <c r="D184" s="185"/>
      <c r="E184" s="164">
        <v>0.081</v>
      </c>
      <c r="F184" s="165" t="s">
        <v>216</v>
      </c>
      <c r="G184" s="97">
        <f t="shared" ref="G184:R184" si="100">G183/12*$E184</f>
        <v>0</v>
      </c>
      <c r="H184" s="160">
        <f t="shared" si="100"/>
        <v>53.271</v>
      </c>
      <c r="I184" s="160">
        <f t="shared" si="100"/>
        <v>53.271</v>
      </c>
      <c r="J184" s="160">
        <f t="shared" si="100"/>
        <v>53.271</v>
      </c>
      <c r="K184" s="160">
        <f t="shared" si="100"/>
        <v>53.271</v>
      </c>
      <c r="L184" s="160">
        <f t="shared" si="100"/>
        <v>53.271</v>
      </c>
      <c r="M184" s="160">
        <f t="shared" si="100"/>
        <v>53.271</v>
      </c>
      <c r="N184" s="160">
        <f t="shared" si="100"/>
        <v>53.271</v>
      </c>
      <c r="O184" s="160">
        <f t="shared" si="100"/>
        <v>53.271</v>
      </c>
      <c r="P184" s="160">
        <f t="shared" si="100"/>
        <v>53.271</v>
      </c>
      <c r="Q184" s="160">
        <f t="shared" si="100"/>
        <v>53.271</v>
      </c>
      <c r="R184" s="160">
        <f t="shared" si="100"/>
        <v>53.271</v>
      </c>
      <c r="S184" s="115"/>
      <c r="T184" s="168" t="str">
        <f t="shared" ref="T184:U184" si="101">SUM(T19,T25,T31,T37,T43,T49,T55,T61,T67,T73,T79,T85,T91,T97,T103,T109,T115,T121,T127,T134,T141,T148,T155,T162,T169,T176,T183)</f>
        <v>#REF!</v>
      </c>
      <c r="U184" s="169" t="str">
        <f t="shared" si="101"/>
        <v>#REF!</v>
      </c>
      <c r="V184" s="169" t="str">
        <f>SUM(V25,V31,V37,V43,V49,V55,V61,V67,V73,V79,V85,V91,V97,V103,V109,V115,V121,V127,V134,V141,V148,V155,V162,V169,V176,V183)</f>
        <v>#REF!</v>
      </c>
      <c r="W184" s="3"/>
      <c r="X184" s="3"/>
      <c r="Y184" s="3"/>
      <c r="Z184" s="3"/>
    </row>
    <row r="185" ht="15.75" customHeight="1">
      <c r="A185" s="120">
        <v>40360.0</v>
      </c>
      <c r="B185" s="139">
        <f>Input!I$46</f>
        <v>33008</v>
      </c>
      <c r="C185" s="3"/>
      <c r="D185" s="183">
        <v>28.0</v>
      </c>
      <c r="E185" s="161" t="s">
        <v>48</v>
      </c>
      <c r="F185" s="155" t="s">
        <v>210</v>
      </c>
      <c r="G185" s="171">
        <v>44652.0</v>
      </c>
      <c r="H185" s="171">
        <v>44682.0</v>
      </c>
      <c r="I185" s="171">
        <v>44713.0</v>
      </c>
      <c r="J185" s="171">
        <v>44743.0</v>
      </c>
      <c r="K185" s="171">
        <v>44774.0</v>
      </c>
      <c r="L185" s="171">
        <v>44805.0</v>
      </c>
      <c r="M185" s="171">
        <v>44835.0</v>
      </c>
      <c r="N185" s="171">
        <v>44866.0</v>
      </c>
      <c r="O185" s="171">
        <v>44896.0</v>
      </c>
      <c r="P185" s="171">
        <v>44927.0</v>
      </c>
      <c r="Q185" s="171">
        <v>44958.0</v>
      </c>
      <c r="R185" s="171">
        <v>44986.0</v>
      </c>
      <c r="S185" s="97">
        <f>SUM(Input!G70:R70)</f>
        <v>0</v>
      </c>
      <c r="T185" s="196"/>
      <c r="U185" s="95"/>
      <c r="V185" s="95"/>
      <c r="W185" s="3"/>
      <c r="X185" s="3"/>
      <c r="Y185" s="3"/>
      <c r="Z185" s="3"/>
    </row>
    <row r="186" ht="15.75" customHeight="1">
      <c r="A186" s="120">
        <v>40391.0</v>
      </c>
      <c r="B186" s="139">
        <f>Input!J$46</f>
        <v>33008</v>
      </c>
      <c r="C186" s="3"/>
      <c r="D186" s="185"/>
      <c r="E186" s="161"/>
      <c r="F186" s="156" t="s">
        <v>211</v>
      </c>
      <c r="G186" s="159">
        <f>IF(Input!G70=0,0,INT((Input!G70*8.33/100)+0.5))</f>
        <v>0</v>
      </c>
      <c r="H186" s="159">
        <f>IF(Input!H70=0,0,INT((Input!H70*8.33/100)+0.5))</f>
        <v>0</v>
      </c>
      <c r="I186" s="159">
        <f>IF(Input!I70=0,0,INT((Input!I70*8.33/100)+0.5))</f>
        <v>0</v>
      </c>
      <c r="J186" s="159">
        <f>IF(Input!J70=0,0,INT((Input!J70*8.33/100)+0.5))</f>
        <v>0</v>
      </c>
      <c r="K186" s="159">
        <f>IF(Input!K70=0,0,INT((Input!K70*8.33/100)+0.5))</f>
        <v>0</v>
      </c>
      <c r="L186" s="159">
        <f>IF(Input!L70=0,0,INT((Input!L70*8.33/100)+0.5))</f>
        <v>0</v>
      </c>
      <c r="M186" s="159">
        <f>IF(Input!M70=0,0,INT((Input!M70*8.33/100)+0.5))</f>
        <v>0</v>
      </c>
      <c r="N186" s="159">
        <f>IF(Input!N70=0,0,INT((Input!N70*8.33/100)+0.5))</f>
        <v>0</v>
      </c>
      <c r="O186" s="159">
        <f>IF(Input!O70=0,0,INT((Input!O70*8.33/100)+0.5))</f>
        <v>0</v>
      </c>
      <c r="P186" s="159">
        <f>IF(Input!P70=0,0,INT((Input!P70*8.33/100)+0.5))</f>
        <v>0</v>
      </c>
      <c r="Q186" s="159">
        <f>IF(Input!Q70=0,0,INT((Input!Q70*8.33/100)+0.5))</f>
        <v>0</v>
      </c>
      <c r="R186" s="159">
        <f>IF(Input!R70=0,0,INT((Input!R70*8.33/100)+0.5))</f>
        <v>0</v>
      </c>
      <c r="S186" s="160">
        <f>IF(S185=0,0,S185*8.33/100)</f>
        <v>0</v>
      </c>
      <c r="T186" s="196"/>
      <c r="U186" s="95"/>
      <c r="V186" s="95"/>
      <c r="W186" s="3"/>
      <c r="X186" s="3"/>
      <c r="Y186" s="3"/>
      <c r="Z186" s="3"/>
    </row>
    <row r="187" ht="15.75" customHeight="1">
      <c r="A187" s="120">
        <v>40422.0</v>
      </c>
      <c r="B187" s="139">
        <f>Input!K$46</f>
        <v>33008</v>
      </c>
      <c r="C187" s="3"/>
      <c r="D187" s="185"/>
      <c r="E187" s="161"/>
      <c r="F187" s="156" t="s">
        <v>212</v>
      </c>
      <c r="G187" s="159">
        <f>IF(Input!G70&lt;=$U$7,INT((Input!G70*8.33%)+0.5),INT(($U$7*8.33%)+0.5))</f>
        <v>0</v>
      </c>
      <c r="H187" s="159">
        <f>IF(Input!H70&lt;=$U$7,INT((Input!H70*8.33%)+0.5),INT(($U$7*8.33%)+0.5))</f>
        <v>0</v>
      </c>
      <c r="I187" s="159">
        <f>IF(Input!I70&lt;=$U$7,INT((Input!I70*8.33%)+0.5),INT(($U$7*8.33%)+0.5))</f>
        <v>0</v>
      </c>
      <c r="J187" s="159">
        <f>IF(Input!J70&lt;=$U$7,INT((Input!J70*8.33%)+0.5),INT(($U$7*8.33%)+0.5))</f>
        <v>0</v>
      </c>
      <c r="K187" s="159">
        <f>IF(Input!K70&lt;=$U$7,INT((Input!K70*8.33%)+0.5),INT(($U$7*8.33%)+0.5))</f>
        <v>0</v>
      </c>
      <c r="L187" s="159">
        <f>IF(Input!L70&lt;=$U$7,INT((Input!L70*8.33%)+0.5),INT(($U$7*8.33%)+0.5))</f>
        <v>0</v>
      </c>
      <c r="M187" s="159">
        <f>IF(Input!M70&lt;=$U$7,INT((Input!M70*8.33%)+0.5),INT(($U$7*8.33%)+0.5))</f>
        <v>0</v>
      </c>
      <c r="N187" s="159">
        <f>IF(Input!N70&lt;=$U$7,INT((Input!N70*8.33%)+0.5),INT(($U$7*8.33%)+0.5))</f>
        <v>0</v>
      </c>
      <c r="O187" s="159">
        <f>IF(Input!O70&lt;=$U$7,INT((Input!O70*8.33%)+0.5),INT(($U$7*8.33%)+0.5))</f>
        <v>0</v>
      </c>
      <c r="P187" s="159">
        <f>IF(Input!P70&lt;=$U$7,INT((Input!P70*8.33%)+0.5),INT(($U$7*8.33%)+0.5))</f>
        <v>0</v>
      </c>
      <c r="Q187" s="159">
        <f>IF(Input!Q70&lt;=$U$7,INT((Input!Q70*8.33%)+0.5),INT(($U$7*8.33%)+0.5))</f>
        <v>0</v>
      </c>
      <c r="R187" s="159">
        <f>IF(Input!R70&lt;=$U$7,INT((Input!R70*8.33%)+0.5),INT(($U$7*8.33%)+0.5))</f>
        <v>0</v>
      </c>
      <c r="S187" s="160">
        <f>IF(S185=0,0,$U$7*8.33%)</f>
        <v>0</v>
      </c>
      <c r="T187" s="196"/>
      <c r="U187" s="95"/>
      <c r="V187" s="95"/>
      <c r="W187" s="3"/>
      <c r="X187" s="3"/>
      <c r="Y187" s="3"/>
      <c r="Z187" s="3"/>
    </row>
    <row r="188" ht="15.75" customHeight="1">
      <c r="A188" s="120">
        <v>40452.0</v>
      </c>
      <c r="B188" s="139">
        <f>Input!L$46</f>
        <v>35774</v>
      </c>
      <c r="C188" s="3"/>
      <c r="D188" s="185"/>
      <c r="E188" s="161"/>
      <c r="F188" s="187" t="s">
        <v>219</v>
      </c>
      <c r="G188" s="188">
        <f>IF(Input!G70&lt;=$U$7,0,INT(((Input!G70-$U$7)*1.16%)+0.5))</f>
        <v>0</v>
      </c>
      <c r="H188" s="188">
        <f>IF(Input!H70&lt;=$U$7,0,INT(((Input!H70-$U$7)*1.16%)+0.5))</f>
        <v>0</v>
      </c>
      <c r="I188" s="188">
        <f>IF(Input!I70&lt;=$U$7,0,INT(((Input!I70-$U$7)*1.16%)+0.5))</f>
        <v>0</v>
      </c>
      <c r="J188" s="188">
        <f>IF(Input!J70&lt;=$U$7,0,INT(((Input!J70-$U$7)*1.16%)+0.5))</f>
        <v>0</v>
      </c>
      <c r="K188" s="188">
        <f>IF(Input!K70&lt;=$U$7,0,INT(((Input!K70-$U$7)*1.16%)+0.5))</f>
        <v>0</v>
      </c>
      <c r="L188" s="188">
        <f>IF(Input!L70&lt;=$U$7,0,INT(((Input!L70-$U$7)*1.16%)+0.5))</f>
        <v>0</v>
      </c>
      <c r="M188" s="188">
        <f>IF(Input!M70&lt;=$U$7,0,INT(((Input!M70-$U$7)*1.16%)+0.5))</f>
        <v>0</v>
      </c>
      <c r="N188" s="188">
        <f>IF(Input!N70&lt;=$U$7,0,INT(((Input!N70-$U$7)*1.16%)+0.5))</f>
        <v>0</v>
      </c>
      <c r="O188" s="188">
        <f>IF(Input!O70&lt;=$U$7,0,INT(((Input!O70-$U$7)*1.16%)+0.5))</f>
        <v>0</v>
      </c>
      <c r="P188" s="188">
        <f>IF(Input!P70&lt;=$U$7,0,INT(((Input!P70-$U$7)*1.16%)+0.5))</f>
        <v>0</v>
      </c>
      <c r="Q188" s="188">
        <f>IF(Input!Q70&lt;=$U$7,0,INT(((Input!Q70-$U$7)*1.16%)+0.5))</f>
        <v>0</v>
      </c>
      <c r="R188" s="188">
        <f>IF(Input!R70&lt;=$U$7,0,INT(((Input!R70-$U$7)*1.16%)+0.5))</f>
        <v>0</v>
      </c>
      <c r="S188" s="189">
        <f>SUM(G188:R188)</f>
        <v>0</v>
      </c>
      <c r="T188" s="196"/>
      <c r="U188" s="95"/>
      <c r="V188" s="95"/>
      <c r="W188" s="3"/>
      <c r="X188" s="3"/>
      <c r="Y188" s="3"/>
      <c r="Z188" s="3"/>
    </row>
    <row r="189" ht="15.75" customHeight="1">
      <c r="A189" s="120">
        <v>40483.0</v>
      </c>
      <c r="B189" s="139">
        <f>Input!M$46</f>
        <v>41488</v>
      </c>
      <c r="C189" s="3"/>
      <c r="D189" s="185"/>
      <c r="E189" s="161"/>
      <c r="F189" s="156" t="s">
        <v>213</v>
      </c>
      <c r="G189" s="160">
        <f t="shared" ref="G189:R189" si="102">IF(G186-G187&lt;=0,0,G186-G187)</f>
        <v>0</v>
      </c>
      <c r="H189" s="160">
        <f t="shared" si="102"/>
        <v>0</v>
      </c>
      <c r="I189" s="160">
        <f t="shared" si="102"/>
        <v>0</v>
      </c>
      <c r="J189" s="160">
        <f t="shared" si="102"/>
        <v>0</v>
      </c>
      <c r="K189" s="160">
        <f t="shared" si="102"/>
        <v>0</v>
      </c>
      <c r="L189" s="160">
        <f t="shared" si="102"/>
        <v>0</v>
      </c>
      <c r="M189" s="160">
        <f t="shared" si="102"/>
        <v>0</v>
      </c>
      <c r="N189" s="160">
        <f t="shared" si="102"/>
        <v>0</v>
      </c>
      <c r="O189" s="160">
        <f t="shared" si="102"/>
        <v>0</v>
      </c>
      <c r="P189" s="160">
        <f t="shared" si="102"/>
        <v>0</v>
      </c>
      <c r="Q189" s="160">
        <f t="shared" si="102"/>
        <v>0</v>
      </c>
      <c r="R189" s="160">
        <f t="shared" si="102"/>
        <v>0</v>
      </c>
      <c r="S189" s="160">
        <f>S186-S187+S188</f>
        <v>0</v>
      </c>
      <c r="T189" s="196"/>
      <c r="U189" s="95"/>
      <c r="V189" s="95"/>
      <c r="W189" s="3"/>
      <c r="X189" s="3"/>
      <c r="Y189" s="3"/>
      <c r="Z189" s="3"/>
    </row>
    <row r="190" ht="15.75" customHeight="1">
      <c r="A190" s="120">
        <v>40513.0</v>
      </c>
      <c r="B190" s="139">
        <f>Input!N$46</f>
        <v>36598</v>
      </c>
      <c r="C190" s="3"/>
      <c r="D190" s="185"/>
      <c r="E190" s="161" t="s">
        <v>214</v>
      </c>
      <c r="F190" s="156" t="s">
        <v>215</v>
      </c>
      <c r="G190" s="160">
        <f>IF(G185=0,0,IF($T$11&lt;=Input!G69,0,R182+R183+U183))</f>
        <v>0</v>
      </c>
      <c r="H190" s="160">
        <f>IF(H185=0,0,IF($T$11&lt;=Input!H79,0,G189+G190))</f>
        <v>0</v>
      </c>
      <c r="I190" s="160">
        <f>IF(I185=0,0,IF($T$11&lt;=Input!I79,0,H189+H190))</f>
        <v>0</v>
      </c>
      <c r="J190" s="160">
        <f>IF(J185=0,0,IF($T$11&lt;=Input!J79,0,I189+I190))</f>
        <v>0</v>
      </c>
      <c r="K190" s="160">
        <f>IF(K185=0,0,IF($T$11&lt;=Input!K79,0,J189+J190))</f>
        <v>0</v>
      </c>
      <c r="L190" s="160">
        <f>IF(L185=0,0,IF($T$11&lt;=Input!L79,0,K189+K190))</f>
        <v>0</v>
      </c>
      <c r="M190" s="160">
        <f>IF(M185=0,0,IF($T$11&lt;=Input!M79,0,L189+L190))</f>
        <v>0</v>
      </c>
      <c r="N190" s="160">
        <f>IF(N185=0,0,IF($T$11&lt;=Input!N79,0,M189+M190))</f>
        <v>0</v>
      </c>
      <c r="O190" s="160">
        <f>IF(O185=0,0,IF($T$11&lt;=Input!O79,0,N189+N190))</f>
        <v>0</v>
      </c>
      <c r="P190" s="160">
        <f>IF(P185=0,0,IF($T$11&lt;=Input!P79,0,O189+O190))</f>
        <v>0</v>
      </c>
      <c r="Q190" s="160">
        <f>IF(Q185=0,0,IF($T$11&lt;=Input!Q79,0,P189+P190))</f>
        <v>0</v>
      </c>
      <c r="R190" s="160">
        <f>IF(R185=0,0,IF($T$11&lt;=Input!R79,0,Q189+Q190))</f>
        <v>0</v>
      </c>
      <c r="S190" s="115"/>
      <c r="T190" s="162">
        <f>SUM(G189:R189)</f>
        <v>0</v>
      </c>
      <c r="U190" s="160">
        <f>SUM(G191:R191)</f>
        <v>0</v>
      </c>
      <c r="V190" s="160">
        <f>SUM(T190,U190)</f>
        <v>0</v>
      </c>
      <c r="W190" s="3"/>
      <c r="X190" s="3"/>
      <c r="Y190" s="3"/>
      <c r="Z190" s="3"/>
    </row>
    <row r="191" ht="15.75" customHeight="1">
      <c r="A191" s="120">
        <v>40544.0</v>
      </c>
      <c r="B191" s="139">
        <f>Input!P$46</f>
        <v>36598</v>
      </c>
      <c r="C191" s="3"/>
      <c r="D191" s="185"/>
      <c r="E191" s="197">
        <v>0.081</v>
      </c>
      <c r="F191" s="165" t="s">
        <v>216</v>
      </c>
      <c r="G191" s="97">
        <f t="shared" ref="G191:R191" si="103">G190/12*$E191</f>
        <v>0</v>
      </c>
      <c r="H191" s="160">
        <f t="shared" si="103"/>
        <v>0</v>
      </c>
      <c r="I191" s="160">
        <f t="shared" si="103"/>
        <v>0</v>
      </c>
      <c r="J191" s="160">
        <f t="shared" si="103"/>
        <v>0</v>
      </c>
      <c r="K191" s="160">
        <f t="shared" si="103"/>
        <v>0</v>
      </c>
      <c r="L191" s="160">
        <f t="shared" si="103"/>
        <v>0</v>
      </c>
      <c r="M191" s="160">
        <f t="shared" si="103"/>
        <v>0</v>
      </c>
      <c r="N191" s="160">
        <f t="shared" si="103"/>
        <v>0</v>
      </c>
      <c r="O191" s="160">
        <f t="shared" si="103"/>
        <v>0</v>
      </c>
      <c r="P191" s="160">
        <f t="shared" si="103"/>
        <v>0</v>
      </c>
      <c r="Q191" s="160">
        <f t="shared" si="103"/>
        <v>0</v>
      </c>
      <c r="R191" s="160">
        <f t="shared" si="103"/>
        <v>0</v>
      </c>
      <c r="S191" s="115"/>
      <c r="T191" s="168" t="str">
        <f t="shared" ref="T191:U191" si="104">SUM(T19,T25,T31,T37,T43,T49,T55,T61,T67,T73,T79,T85,T91,T97,T103,T109,T115,T121,T127,T134,T141,T148,T155,T162,T169,T176,T183,T190)</f>
        <v>#REF!</v>
      </c>
      <c r="U191" s="169" t="str">
        <f t="shared" si="104"/>
        <v>#REF!</v>
      </c>
      <c r="V191" s="169" t="str">
        <f>SUM(V31,V37,V43,V49,V55,V61,V67,V73,V79,V85,V91,V97,V103,V109,V115,V121,V127,V134,V141,V148,V155,V162,V169,V176,V183,V190)</f>
        <v>#REF!</v>
      </c>
      <c r="W191" s="3"/>
      <c r="X191" s="3"/>
      <c r="Y191" s="3"/>
      <c r="Z191" s="3"/>
    </row>
    <row r="192" ht="15.75" customHeight="1">
      <c r="A192" s="120">
        <v>40575.0</v>
      </c>
      <c r="B192" s="139">
        <f>Input!Q$46</f>
        <v>36598</v>
      </c>
      <c r="C192" s="3"/>
      <c r="D192" s="183">
        <v>29.0</v>
      </c>
      <c r="E192" s="161" t="s">
        <v>49</v>
      </c>
      <c r="F192" s="155" t="s">
        <v>210</v>
      </c>
      <c r="G192" s="171">
        <v>45017.0</v>
      </c>
      <c r="H192" s="171">
        <v>45047.0</v>
      </c>
      <c r="I192" s="171">
        <v>45078.0</v>
      </c>
      <c r="J192" s="171">
        <v>45108.0</v>
      </c>
      <c r="K192" s="171">
        <v>45139.0</v>
      </c>
      <c r="L192" s="171">
        <v>45170.0</v>
      </c>
      <c r="M192" s="171">
        <v>45200.0</v>
      </c>
      <c r="N192" s="171">
        <v>45231.0</v>
      </c>
      <c r="O192" s="171">
        <v>45261.0</v>
      </c>
      <c r="P192" s="171">
        <v>45292.0</v>
      </c>
      <c r="Q192" s="171">
        <v>45323.0</v>
      </c>
      <c r="R192" s="171">
        <v>45352.0</v>
      </c>
      <c r="S192" s="97">
        <f>SUM(Input!G72:R72)</f>
        <v>0</v>
      </c>
      <c r="T192" s="196"/>
      <c r="U192" s="95"/>
      <c r="V192" s="95"/>
      <c r="W192" s="3"/>
      <c r="X192" s="3"/>
      <c r="Y192" s="3"/>
      <c r="Z192" s="3"/>
    </row>
    <row r="193" ht="15.75" customHeight="1">
      <c r="A193" s="120">
        <v>40603.0</v>
      </c>
      <c r="B193" s="139">
        <f>Input!R$46</f>
        <v>54870</v>
      </c>
      <c r="C193" s="3"/>
      <c r="D193" s="185"/>
      <c r="E193" s="161"/>
      <c r="F193" s="156" t="s">
        <v>211</v>
      </c>
      <c r="G193" s="159">
        <f>IF(Input!G72=0,0,INT((Input!G72*8.33/100)+0.5))</f>
        <v>0</v>
      </c>
      <c r="H193" s="159">
        <f>IF(Input!H72=0,0,INT((Input!H72*8.33/100)+0.5))</f>
        <v>0</v>
      </c>
      <c r="I193" s="159">
        <f>IF(Input!I72=0,0,INT((Input!I72*8.33/100)+0.5))</f>
        <v>0</v>
      </c>
      <c r="J193" s="159">
        <f>IF(Input!J72=0,0,INT((Input!J72*8.33/100)+0.5))</f>
        <v>0</v>
      </c>
      <c r="K193" s="159">
        <f>IF(Input!K72=0,0,INT((Input!K72*8.33/100)+0.5))</f>
        <v>0</v>
      </c>
      <c r="L193" s="159">
        <f>IF(Input!L72=0,0,INT((Input!L72*8.33/100)+0.5))</f>
        <v>0</v>
      </c>
      <c r="M193" s="159">
        <f>IF(Input!M72=0,0,INT((Input!M72*8.33/100)+0.5))</f>
        <v>0</v>
      </c>
      <c r="N193" s="159">
        <f>IF(Input!N72=0,0,INT((Input!N72*8.33/100)+0.5))</f>
        <v>0</v>
      </c>
      <c r="O193" s="159">
        <f>IF(Input!O72=0,0,INT((Input!O72*8.33/100)+0.5))</f>
        <v>0</v>
      </c>
      <c r="P193" s="159">
        <f>IF(Input!P72=0,0,INT((Input!P72*8.33/100)+0.5))</f>
        <v>0</v>
      </c>
      <c r="Q193" s="159">
        <f>IF(Input!Q72=0,0,INT((Input!Q72*8.33/100)+0.5))</f>
        <v>0</v>
      </c>
      <c r="R193" s="159">
        <f>IF(Input!R72=0,0,INT((Input!R72*8.33/100)+0.5))</f>
        <v>0</v>
      </c>
      <c r="S193" s="160">
        <f>IF(S192=0,0,S192*8.33/100)</f>
        <v>0</v>
      </c>
      <c r="T193" s="196"/>
      <c r="U193" s="95"/>
      <c r="V193" s="95"/>
      <c r="W193" s="3"/>
      <c r="X193" s="3"/>
      <c r="Y193" s="3"/>
      <c r="Z193" s="3"/>
    </row>
    <row r="194" ht="15.75" customHeight="1">
      <c r="A194" s="120">
        <v>40634.0</v>
      </c>
      <c r="B194" s="139">
        <f>Input!G$48</f>
        <v>41140</v>
      </c>
      <c r="C194" s="3"/>
      <c r="D194" s="185"/>
      <c r="E194" s="161"/>
      <c r="F194" s="156" t="s">
        <v>212</v>
      </c>
      <c r="G194" s="159">
        <f>IF(Input!G72&lt;=$U$7,INT((Input!G72*8.33%)+0.5),INT(($U$7*8.33%)+0.5))</f>
        <v>0</v>
      </c>
      <c r="H194" s="159">
        <f>IF(Input!H72&lt;=$U$7,INT((Input!H72*8.33%)+0.5),INT(($U$7*8.33%)+0.5))</f>
        <v>0</v>
      </c>
      <c r="I194" s="159">
        <f>IF(Input!I72&lt;=$U$7,INT((Input!I72*8.33%)+0.5),INT(($U$7*8.33%)+0.5))</f>
        <v>0</v>
      </c>
      <c r="J194" s="159">
        <f>IF(Input!J72&lt;=$U$7,INT((Input!J72*8.33%)+0.5),INT(($U$7*8.33%)+0.5))</f>
        <v>0</v>
      </c>
      <c r="K194" s="159">
        <f>IF(Input!K72&lt;=$U$7,INT((Input!K72*8.33%)+0.5),INT(($U$7*8.33%)+0.5))</f>
        <v>0</v>
      </c>
      <c r="L194" s="159">
        <f>IF(Input!L72&lt;=$U$7,INT((Input!L72*8.33%)+0.5),INT(($U$7*8.33%)+0.5))</f>
        <v>0</v>
      </c>
      <c r="M194" s="159">
        <f>IF(Input!M72&lt;=$U$7,INT((Input!M72*8.33%)+0.5),INT(($U$7*8.33%)+0.5))</f>
        <v>0</v>
      </c>
      <c r="N194" s="159">
        <f>IF(Input!N72&lt;=$U$7,INT((Input!N72*8.33%)+0.5),INT(($U$7*8.33%)+0.5))</f>
        <v>0</v>
      </c>
      <c r="O194" s="159">
        <f>IF(Input!O72&lt;=$U$7,INT((Input!O72*8.33%)+0.5),INT(($U$7*8.33%)+0.5))</f>
        <v>0</v>
      </c>
      <c r="P194" s="159">
        <f>IF(Input!P72&lt;=$U$7,INT((Input!P72*8.33%)+0.5),INT(($U$7*8.33%)+0.5))</f>
        <v>0</v>
      </c>
      <c r="Q194" s="159">
        <f>IF(Input!Q72&lt;=$U$7,INT((Input!Q72*8.33%)+0.5),INT(($U$7*8.33%)+0.5))</f>
        <v>0</v>
      </c>
      <c r="R194" s="159">
        <f>IF(Input!R72&lt;=$U$7,INT((Input!R72*8.33%)+0.5),INT(($U$7*8.33%)+0.5))</f>
        <v>0</v>
      </c>
      <c r="S194" s="160">
        <f>IF(S192=0,0,$U$7*8.33%)</f>
        <v>0</v>
      </c>
      <c r="T194" s="196"/>
      <c r="U194" s="95"/>
      <c r="V194" s="95"/>
      <c r="W194" s="3"/>
      <c r="X194" s="3"/>
      <c r="Y194" s="3"/>
      <c r="Z194" s="3"/>
    </row>
    <row r="195" ht="15.75" customHeight="1">
      <c r="A195" s="120">
        <v>40664.0</v>
      </c>
      <c r="B195" s="139">
        <f>Input!H$48</f>
        <v>38112</v>
      </c>
      <c r="C195" s="3"/>
      <c r="D195" s="185"/>
      <c r="E195" s="161"/>
      <c r="F195" s="187" t="s">
        <v>219</v>
      </c>
      <c r="G195" s="188">
        <f>IF(Input!G72&lt;=$U$7,0,INT(((Input!G72-$U$7)*1.16%)+0.5))</f>
        <v>0</v>
      </c>
      <c r="H195" s="188">
        <f>IF(Input!H77&lt;=$U$7,0,INT(((Input!H77-$U$7)*1.16%)+0.5))</f>
        <v>0</v>
      </c>
      <c r="I195" s="188">
        <f>IF(Input!I77&lt;=$U$7,0,INT(((Input!I77-$U$7)*1.16%)+0.5))</f>
        <v>0</v>
      </c>
      <c r="J195" s="188">
        <f>IF(Input!J77&lt;=$U$7,0,INT(((Input!J77-$U$7)*1.16%)+0.5))</f>
        <v>0</v>
      </c>
      <c r="K195" s="188">
        <f>IF(Input!K77&lt;=$U$7,0,INT(((Input!K77-$U$7)*1.16%)+0.5))</f>
        <v>0</v>
      </c>
      <c r="L195" s="188">
        <f>IF(Input!L77&lt;=$U$7,0,INT(((Input!L77-$U$7)*1.16%)+0.5))</f>
        <v>0</v>
      </c>
      <c r="M195" s="188">
        <f>IF(Input!M77&lt;=$U$7,0,INT(((Input!M77-$U$7)*1.16%)+0.5))</f>
        <v>0</v>
      </c>
      <c r="N195" s="188">
        <f>IF(Input!N77&lt;=$U$7,0,INT(((Input!N77-$U$7)*1.16%)+0.5))</f>
        <v>0</v>
      </c>
      <c r="O195" s="188">
        <f>IF(Input!O77&lt;=$U$7,0,INT(((Input!O77-$U$7)*1.16%)+0.5))</f>
        <v>0</v>
      </c>
      <c r="P195" s="188">
        <f>IF(Input!P77&lt;=$U$7,0,INT(((Input!P77-$U$7)*1.16%)+0.5))</f>
        <v>0</v>
      </c>
      <c r="Q195" s="188">
        <f>IF(Input!Q77&lt;=$U$7,0,INT(((Input!Q77-$U$7)*1.16%)+0.5))</f>
        <v>0</v>
      </c>
      <c r="R195" s="188">
        <f>IF(Input!R77&lt;=$U$7,0,INT(((Input!R77-$U$7)*1.16%)+0.5))</f>
        <v>0</v>
      </c>
      <c r="S195" s="189">
        <f>SUM(G195:R195)</f>
        <v>0</v>
      </c>
      <c r="T195" s="196"/>
      <c r="U195" s="95"/>
      <c r="V195" s="95"/>
      <c r="W195" s="3"/>
      <c r="X195" s="3"/>
      <c r="Y195" s="3"/>
      <c r="Z195" s="3"/>
    </row>
    <row r="196" ht="15.75" customHeight="1">
      <c r="A196" s="120">
        <v>40695.0</v>
      </c>
      <c r="B196" s="139">
        <f>Input!I$48</f>
        <v>38112</v>
      </c>
      <c r="C196" s="3"/>
      <c r="D196" s="185"/>
      <c r="E196" s="161"/>
      <c r="F196" s="156" t="s">
        <v>213</v>
      </c>
      <c r="G196" s="160">
        <f t="shared" ref="G196:R196" si="105">IF(G193-G194&lt;=0,0,G193-G194)</f>
        <v>0</v>
      </c>
      <c r="H196" s="160">
        <f t="shared" si="105"/>
        <v>0</v>
      </c>
      <c r="I196" s="160">
        <f t="shared" si="105"/>
        <v>0</v>
      </c>
      <c r="J196" s="160">
        <f t="shared" si="105"/>
        <v>0</v>
      </c>
      <c r="K196" s="160">
        <f t="shared" si="105"/>
        <v>0</v>
      </c>
      <c r="L196" s="160">
        <f t="shared" si="105"/>
        <v>0</v>
      </c>
      <c r="M196" s="160">
        <f t="shared" si="105"/>
        <v>0</v>
      </c>
      <c r="N196" s="160">
        <f t="shared" si="105"/>
        <v>0</v>
      </c>
      <c r="O196" s="160">
        <f t="shared" si="105"/>
        <v>0</v>
      </c>
      <c r="P196" s="160">
        <f t="shared" si="105"/>
        <v>0</v>
      </c>
      <c r="Q196" s="160">
        <f t="shared" si="105"/>
        <v>0</v>
      </c>
      <c r="R196" s="160">
        <f t="shared" si="105"/>
        <v>0</v>
      </c>
      <c r="S196" s="160">
        <f>S193-S194+S195</f>
        <v>0</v>
      </c>
      <c r="T196" s="196"/>
      <c r="U196" s="95"/>
      <c r="V196" s="95"/>
      <c r="W196" s="3"/>
      <c r="X196" s="3"/>
      <c r="Y196" s="3"/>
      <c r="Z196" s="3"/>
    </row>
    <row r="197" ht="15.75" customHeight="1">
      <c r="A197" s="120">
        <v>40725.0</v>
      </c>
      <c r="B197" s="139">
        <f>Input!J$48</f>
        <v>39260</v>
      </c>
      <c r="C197" s="3"/>
      <c r="D197" s="185"/>
      <c r="E197" s="161" t="s">
        <v>214</v>
      </c>
      <c r="F197" s="156" t="s">
        <v>215</v>
      </c>
      <c r="G197" s="160">
        <f>IF(G192=0,0,IF($T$11&lt;=Input!G76,0,R189+R190+U190))</f>
        <v>0</v>
      </c>
      <c r="H197" s="160">
        <f>IF(H192=0,0,IF($T$11&lt;=Input!H86,0,G196+G197))</f>
        <v>0</v>
      </c>
      <c r="I197" s="160">
        <f>IF(I192=0,0,IF($T$11&lt;=Input!I86,0,H196+H197))</f>
        <v>0</v>
      </c>
      <c r="J197" s="160">
        <f>IF(J192=0,0,IF($T$11&lt;=Input!J86,0,I196+I197))</f>
        <v>0</v>
      </c>
      <c r="K197" s="160">
        <f>IF(K192=0,0,IF($T$11&lt;=Input!K86,0,J196+J197))</f>
        <v>0</v>
      </c>
      <c r="L197" s="160">
        <f>IF(L192=0,0,IF($T$11&lt;=Input!L86,0,K196+K197))</f>
        <v>0</v>
      </c>
      <c r="M197" s="160">
        <f>IF(M192=0,0,IF($T$11&lt;=Input!M86,0,L196+L197))</f>
        <v>0</v>
      </c>
      <c r="N197" s="160">
        <f>IF(N192=0,0,IF($T$11&lt;=Input!N86,0,M196+M197))</f>
        <v>0</v>
      </c>
      <c r="O197" s="160">
        <f>IF(O192=0,0,IF($T$11&lt;=Input!O86,0,N196+N197))</f>
        <v>0</v>
      </c>
      <c r="P197" s="160">
        <f>IF(P192=0,0,IF($T$11&lt;=Input!P86,0,O196+O197))</f>
        <v>0</v>
      </c>
      <c r="Q197" s="160">
        <f>IF(Q192=0,0,IF($T$11&lt;=Input!Q86,0,P196+P197))</f>
        <v>0</v>
      </c>
      <c r="R197" s="160">
        <f>IF(R192=0,0,IF($T$11&lt;=Input!R86,0,Q196+Q197))</f>
        <v>0</v>
      </c>
      <c r="S197" s="115"/>
      <c r="T197" s="162">
        <f>SUM(G196:R196)</f>
        <v>0</v>
      </c>
      <c r="U197" s="160">
        <f>SUM(G198:R198)</f>
        <v>0</v>
      </c>
      <c r="V197" s="160">
        <f>SUM(T197,U197)</f>
        <v>0</v>
      </c>
      <c r="W197" s="3"/>
      <c r="X197" s="3"/>
      <c r="Y197" s="3"/>
      <c r="Z197" s="3"/>
    </row>
    <row r="198" ht="15.75" customHeight="1">
      <c r="A198" s="120">
        <v>40756.0</v>
      </c>
      <c r="B198" s="139">
        <f>Input!K$48</f>
        <v>39260</v>
      </c>
      <c r="C198" s="3"/>
      <c r="D198" s="141"/>
      <c r="E198" s="197">
        <v>0.081</v>
      </c>
      <c r="F198" s="165" t="s">
        <v>216</v>
      </c>
      <c r="G198" s="97">
        <f t="shared" ref="G198:R198" si="106">G197/12*$E198</f>
        <v>0</v>
      </c>
      <c r="H198" s="160">
        <f t="shared" si="106"/>
        <v>0</v>
      </c>
      <c r="I198" s="160">
        <f t="shared" si="106"/>
        <v>0</v>
      </c>
      <c r="J198" s="160">
        <f t="shared" si="106"/>
        <v>0</v>
      </c>
      <c r="K198" s="160">
        <f t="shared" si="106"/>
        <v>0</v>
      </c>
      <c r="L198" s="160">
        <f t="shared" si="106"/>
        <v>0</v>
      </c>
      <c r="M198" s="160">
        <f t="shared" si="106"/>
        <v>0</v>
      </c>
      <c r="N198" s="160">
        <f t="shared" si="106"/>
        <v>0</v>
      </c>
      <c r="O198" s="160">
        <f t="shared" si="106"/>
        <v>0</v>
      </c>
      <c r="P198" s="160">
        <f t="shared" si="106"/>
        <v>0</v>
      </c>
      <c r="Q198" s="160">
        <f t="shared" si="106"/>
        <v>0</v>
      </c>
      <c r="R198" s="160">
        <f t="shared" si="106"/>
        <v>0</v>
      </c>
      <c r="S198" s="115"/>
      <c r="T198" s="168" t="str">
        <f t="shared" ref="T198:V198" si="107">SUM(T19,T25,T31,T37,T43,T49,T55,T61,T67,T73,T79,T85,T91,T97,T103,T109,T115,T121,T127,T134,T141,T148,T155,T162,T169,T176,T183,T190,T197)</f>
        <v>#REF!</v>
      </c>
      <c r="U198" s="169" t="str">
        <f t="shared" si="107"/>
        <v>#REF!</v>
      </c>
      <c r="V198" s="169" t="str">
        <f t="shared" si="107"/>
        <v>#REF!</v>
      </c>
      <c r="W198" s="3"/>
      <c r="X198" s="3"/>
      <c r="Y198" s="3"/>
      <c r="Z198" s="3"/>
    </row>
    <row r="199" ht="15.75" customHeight="1">
      <c r="A199" s="120">
        <v>40787.0</v>
      </c>
      <c r="B199" s="139">
        <f>Input!L$48</f>
        <v>39260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198"/>
      <c r="V199" s="3"/>
      <c r="W199" s="3"/>
      <c r="X199" s="3"/>
      <c r="Y199" s="3"/>
      <c r="Z199" s="3"/>
    </row>
    <row r="200" ht="15.0" customHeight="1">
      <c r="A200" s="120">
        <v>40817.0</v>
      </c>
      <c r="B200" s="139">
        <f>Input!M$48</f>
        <v>41080</v>
      </c>
      <c r="C200" s="3"/>
      <c r="D200" s="199" t="s">
        <v>220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6"/>
      <c r="T200" s="3"/>
      <c r="U200" s="200"/>
      <c r="V200" s="3"/>
      <c r="W200" s="3"/>
      <c r="X200" s="3"/>
      <c r="Y200" s="3"/>
      <c r="Z200" s="3"/>
    </row>
    <row r="201" ht="15.0" customHeight="1">
      <c r="A201" s="120">
        <v>40848.0</v>
      </c>
      <c r="B201" s="139">
        <f>Input!N$48</f>
        <v>41080</v>
      </c>
      <c r="C201" s="3"/>
      <c r="D201" s="201" t="s">
        <v>221</v>
      </c>
      <c r="E201" s="5"/>
      <c r="F201" s="6"/>
      <c r="G201" s="120">
        <f>EDATE(Input!L10,0)</f>
        <v>44287</v>
      </c>
      <c r="H201" s="41">
        <f t="shared" ref="H201:R201" si="108">EDATE(G201,-1)</f>
        <v>44256</v>
      </c>
      <c r="I201" s="41">
        <f t="shared" si="108"/>
        <v>44228</v>
      </c>
      <c r="J201" s="41">
        <f t="shared" si="108"/>
        <v>44197</v>
      </c>
      <c r="K201" s="41">
        <f t="shared" si="108"/>
        <v>44166</v>
      </c>
      <c r="L201" s="41">
        <f t="shared" si="108"/>
        <v>44136</v>
      </c>
      <c r="M201" s="41">
        <f t="shared" si="108"/>
        <v>44105</v>
      </c>
      <c r="N201" s="41">
        <f t="shared" si="108"/>
        <v>44075</v>
      </c>
      <c r="O201" s="41">
        <f t="shared" si="108"/>
        <v>44044</v>
      </c>
      <c r="P201" s="41">
        <f t="shared" si="108"/>
        <v>44013</v>
      </c>
      <c r="Q201" s="41">
        <f t="shared" si="108"/>
        <v>43983</v>
      </c>
      <c r="R201" s="41">
        <f t="shared" si="108"/>
        <v>43952</v>
      </c>
      <c r="S201" s="202" t="s">
        <v>222</v>
      </c>
      <c r="T201" s="3"/>
      <c r="U201" s="198"/>
      <c r="V201" s="3"/>
      <c r="W201" s="3"/>
      <c r="X201" s="3"/>
      <c r="Y201" s="3"/>
      <c r="Z201" s="3"/>
    </row>
    <row r="202" ht="15.0" customHeight="1">
      <c r="A202" s="120">
        <v>40878.0</v>
      </c>
      <c r="B202" s="139">
        <f>Input!O$48</f>
        <v>46540</v>
      </c>
      <c r="C202" s="3"/>
      <c r="D202" s="203" t="s">
        <v>223</v>
      </c>
      <c r="E202" s="5"/>
      <c r="F202" s="6"/>
      <c r="G202" s="204">
        <f t="shared" ref="G202:R202" si="109">VLOOKUP(G201,$A$2:$B$349,2,0)</f>
        <v>106587</v>
      </c>
      <c r="H202" s="204">
        <f t="shared" si="109"/>
        <v>106587</v>
      </c>
      <c r="I202" s="204">
        <f t="shared" si="109"/>
        <v>106587</v>
      </c>
      <c r="J202" s="204">
        <f t="shared" si="109"/>
        <v>106587</v>
      </c>
      <c r="K202" s="204">
        <f t="shared" si="109"/>
        <v>106587</v>
      </c>
      <c r="L202" s="204">
        <f t="shared" si="109"/>
        <v>106587</v>
      </c>
      <c r="M202" s="204">
        <f t="shared" si="109"/>
        <v>106587</v>
      </c>
      <c r="N202" s="204">
        <f t="shared" si="109"/>
        <v>114046</v>
      </c>
      <c r="O202" s="204">
        <f t="shared" si="109"/>
        <v>102032</v>
      </c>
      <c r="P202" s="204">
        <f t="shared" si="109"/>
        <v>65047</v>
      </c>
      <c r="Q202" s="204">
        <f t="shared" si="109"/>
        <v>99008</v>
      </c>
      <c r="R202" s="204">
        <f t="shared" si="109"/>
        <v>99008</v>
      </c>
      <c r="S202" s="205"/>
      <c r="T202" s="3"/>
      <c r="U202" s="3"/>
      <c r="V202" s="3"/>
      <c r="W202" s="3"/>
      <c r="X202" s="3"/>
      <c r="Y202" s="3"/>
      <c r="Z202" s="3"/>
    </row>
    <row r="203" ht="14.25" customHeight="1">
      <c r="A203" s="120">
        <v>40909.0</v>
      </c>
      <c r="B203" s="139">
        <f>Input!P$48</f>
        <v>41080</v>
      </c>
      <c r="C203" s="3"/>
      <c r="D203" s="201" t="s">
        <v>221</v>
      </c>
      <c r="E203" s="5"/>
      <c r="F203" s="6"/>
      <c r="G203" s="41">
        <f>EDATE(R201,-1)</f>
        <v>43922</v>
      </c>
      <c r="H203" s="41">
        <f t="shared" ref="H203:R203" si="110">EDATE(G203,-1)</f>
        <v>43891</v>
      </c>
      <c r="I203" s="41">
        <f t="shared" si="110"/>
        <v>43862</v>
      </c>
      <c r="J203" s="41">
        <f t="shared" si="110"/>
        <v>43831</v>
      </c>
      <c r="K203" s="41">
        <f t="shared" si="110"/>
        <v>43800</v>
      </c>
      <c r="L203" s="41">
        <f t="shared" si="110"/>
        <v>43770</v>
      </c>
      <c r="M203" s="41">
        <f t="shared" si="110"/>
        <v>43739</v>
      </c>
      <c r="N203" s="41">
        <f t="shared" si="110"/>
        <v>43709</v>
      </c>
      <c r="O203" s="41">
        <f t="shared" si="110"/>
        <v>43678</v>
      </c>
      <c r="P203" s="41">
        <f t="shared" si="110"/>
        <v>43647</v>
      </c>
      <c r="Q203" s="41">
        <f t="shared" si="110"/>
        <v>43617</v>
      </c>
      <c r="R203" s="41">
        <f t="shared" si="110"/>
        <v>43586</v>
      </c>
      <c r="S203" s="205"/>
      <c r="T203" s="3"/>
      <c r="U203" s="3"/>
      <c r="V203" s="3"/>
      <c r="W203" s="3"/>
      <c r="X203" s="3"/>
      <c r="Y203" s="3"/>
      <c r="Z203" s="3"/>
    </row>
    <row r="204" ht="15.0" customHeight="1">
      <c r="A204" s="120">
        <v>40940.0</v>
      </c>
      <c r="B204" s="139">
        <f>Input!Q$48</f>
        <v>41080</v>
      </c>
      <c r="C204" s="3"/>
      <c r="D204" s="203" t="s">
        <v>223</v>
      </c>
      <c r="E204" s="5"/>
      <c r="F204" s="6"/>
      <c r="G204" s="204">
        <f t="shared" ref="G204:R204" si="111">VLOOKUP(G203,$A$2:$B$349,2,0)</f>
        <v>99008</v>
      </c>
      <c r="H204" s="204">
        <f t="shared" si="111"/>
        <v>104312</v>
      </c>
      <c r="I204" s="204">
        <f t="shared" si="111"/>
        <v>96356</v>
      </c>
      <c r="J204" s="204">
        <f t="shared" si="111"/>
        <v>96356</v>
      </c>
      <c r="K204" s="204">
        <f t="shared" si="111"/>
        <v>96356</v>
      </c>
      <c r="L204" s="204">
        <f t="shared" si="111"/>
        <v>96356</v>
      </c>
      <c r="M204" s="204">
        <f t="shared" si="111"/>
        <v>96356</v>
      </c>
      <c r="N204" s="204">
        <f t="shared" si="111"/>
        <v>96356</v>
      </c>
      <c r="O204" s="204">
        <f t="shared" si="111"/>
        <v>98124</v>
      </c>
      <c r="P204" s="204">
        <f t="shared" si="111"/>
        <v>94588</v>
      </c>
      <c r="Q204" s="204">
        <f t="shared" si="111"/>
        <v>91806</v>
      </c>
      <c r="R204" s="204">
        <f t="shared" si="111"/>
        <v>91806</v>
      </c>
      <c r="S204" s="205"/>
      <c r="T204" s="3"/>
      <c r="U204" s="3"/>
      <c r="V204" s="3"/>
      <c r="W204" s="3"/>
      <c r="X204" s="3"/>
      <c r="Y204" s="3"/>
      <c r="Z204" s="3"/>
    </row>
    <row r="205" ht="15.0" customHeight="1">
      <c r="A205" s="120">
        <v>40969.0</v>
      </c>
      <c r="B205" s="139">
        <f>Input!R$48</f>
        <v>41080</v>
      </c>
      <c r="C205" s="3"/>
      <c r="D205" s="201" t="s">
        <v>221</v>
      </c>
      <c r="E205" s="5"/>
      <c r="F205" s="6"/>
      <c r="G205" s="41">
        <f>+EDATE(R203,-1)</f>
        <v>43556</v>
      </c>
      <c r="H205" s="41">
        <f t="shared" ref="H205:R205" si="112">+EDATE(G205,-1)</f>
        <v>43525</v>
      </c>
      <c r="I205" s="41">
        <f t="shared" si="112"/>
        <v>43497</v>
      </c>
      <c r="J205" s="41">
        <f t="shared" si="112"/>
        <v>43466</v>
      </c>
      <c r="K205" s="41">
        <f t="shared" si="112"/>
        <v>43435</v>
      </c>
      <c r="L205" s="41">
        <f t="shared" si="112"/>
        <v>43405</v>
      </c>
      <c r="M205" s="41">
        <f t="shared" si="112"/>
        <v>43374</v>
      </c>
      <c r="N205" s="41">
        <f t="shared" si="112"/>
        <v>43344</v>
      </c>
      <c r="O205" s="41">
        <f t="shared" si="112"/>
        <v>43313</v>
      </c>
      <c r="P205" s="41">
        <f t="shared" si="112"/>
        <v>43282</v>
      </c>
      <c r="Q205" s="41">
        <f t="shared" si="112"/>
        <v>43252</v>
      </c>
      <c r="R205" s="41">
        <f t="shared" si="112"/>
        <v>43221</v>
      </c>
      <c r="S205" s="205"/>
      <c r="T205" s="3"/>
      <c r="U205" s="3"/>
      <c r="V205" s="3"/>
      <c r="W205" s="3"/>
      <c r="X205" s="3"/>
      <c r="Y205" s="3"/>
      <c r="Z205" s="3"/>
    </row>
    <row r="206" ht="15.0" customHeight="1">
      <c r="A206" s="120">
        <v>41000.0</v>
      </c>
      <c r="B206" s="139">
        <f>Input!G$50</f>
        <v>42900</v>
      </c>
      <c r="C206" s="3"/>
      <c r="D206" s="203" t="s">
        <v>223</v>
      </c>
      <c r="E206" s="5"/>
      <c r="F206" s="6"/>
      <c r="G206" s="204">
        <f t="shared" ref="G206:R206" si="113">VLOOKUP(G205,$A$2:$B$349,2,0)</f>
        <v>91806</v>
      </c>
      <c r="H206" s="204">
        <f t="shared" si="113"/>
        <v>95238</v>
      </c>
      <c r="I206" s="204">
        <f t="shared" si="113"/>
        <v>90090</v>
      </c>
      <c r="J206" s="204">
        <f t="shared" si="113"/>
        <v>90090</v>
      </c>
      <c r="K206" s="204">
        <f t="shared" si="113"/>
        <v>90090</v>
      </c>
      <c r="L206" s="204">
        <f t="shared" si="113"/>
        <v>90090</v>
      </c>
      <c r="M206" s="204">
        <f t="shared" si="113"/>
        <v>90090</v>
      </c>
      <c r="N206" s="204">
        <f t="shared" si="113"/>
        <v>91806</v>
      </c>
      <c r="O206" s="204">
        <f t="shared" si="113"/>
        <v>89232</v>
      </c>
      <c r="P206" s="204">
        <f t="shared" si="113"/>
        <v>89232</v>
      </c>
      <c r="Q206" s="204">
        <f t="shared" si="113"/>
        <v>186250</v>
      </c>
      <c r="R206" s="204">
        <f t="shared" si="113"/>
        <v>76157</v>
      </c>
      <c r="S206" s="205"/>
      <c r="T206" s="3"/>
      <c r="U206" s="3"/>
      <c r="V206" s="3"/>
      <c r="W206" s="3"/>
      <c r="X206" s="3"/>
      <c r="Y206" s="3"/>
      <c r="Z206" s="3"/>
    </row>
    <row r="207" ht="15.0" customHeight="1">
      <c r="A207" s="120">
        <v>41030.0</v>
      </c>
      <c r="B207" s="139">
        <f>Input!H$50</f>
        <v>42900</v>
      </c>
      <c r="C207" s="3"/>
      <c r="D207" s="201" t="s">
        <v>221</v>
      </c>
      <c r="E207" s="5"/>
      <c r="F207" s="6"/>
      <c r="G207" s="41">
        <f>+EDATE(R205,-1)</f>
        <v>43191</v>
      </c>
      <c r="H207" s="41">
        <f t="shared" ref="H207:R207" si="114">+EDATE(G207,-1)</f>
        <v>43160</v>
      </c>
      <c r="I207" s="41">
        <f t="shared" si="114"/>
        <v>43132</v>
      </c>
      <c r="J207" s="41">
        <f t="shared" si="114"/>
        <v>43101</v>
      </c>
      <c r="K207" s="41">
        <f t="shared" si="114"/>
        <v>43070</v>
      </c>
      <c r="L207" s="41">
        <f t="shared" si="114"/>
        <v>43040</v>
      </c>
      <c r="M207" s="41">
        <f t="shared" si="114"/>
        <v>43009</v>
      </c>
      <c r="N207" s="41">
        <f t="shared" si="114"/>
        <v>42979</v>
      </c>
      <c r="O207" s="41">
        <f t="shared" si="114"/>
        <v>42948</v>
      </c>
      <c r="P207" s="41">
        <f t="shared" si="114"/>
        <v>42917</v>
      </c>
      <c r="Q207" s="41">
        <f t="shared" si="114"/>
        <v>42887</v>
      </c>
      <c r="R207" s="41">
        <f t="shared" si="114"/>
        <v>42856</v>
      </c>
      <c r="S207" s="205"/>
      <c r="T207" s="3"/>
      <c r="U207" s="3"/>
      <c r="V207" s="3"/>
      <c r="W207" s="3"/>
      <c r="X207" s="3"/>
      <c r="Y207" s="3"/>
      <c r="Z207" s="3"/>
    </row>
    <row r="208" ht="15.0" customHeight="1">
      <c r="A208" s="120">
        <v>41061.0</v>
      </c>
      <c r="B208" s="139">
        <f>Input!I$50</f>
        <v>48360</v>
      </c>
      <c r="C208" s="3"/>
      <c r="D208" s="203" t="s">
        <v>223</v>
      </c>
      <c r="E208" s="5"/>
      <c r="F208" s="6"/>
      <c r="G208" s="204">
        <f t="shared" ref="G208:R208" si="115">VLOOKUP(G207,$A$2:$B$349,2,0)</f>
        <v>76157</v>
      </c>
      <c r="H208" s="204">
        <f t="shared" si="115"/>
        <v>78739</v>
      </c>
      <c r="I208" s="204">
        <f t="shared" si="115"/>
        <v>74866</v>
      </c>
      <c r="J208" s="204">
        <f t="shared" si="115"/>
        <v>74866</v>
      </c>
      <c r="K208" s="204">
        <f t="shared" si="115"/>
        <v>83704</v>
      </c>
      <c r="L208" s="204" t="str">
        <f t="shared" si="115"/>
        <v>#REF!</v>
      </c>
      <c r="M208" s="204">
        <f t="shared" si="115"/>
        <v>77272</v>
      </c>
      <c r="N208" s="204">
        <f t="shared" si="115"/>
        <v>73688</v>
      </c>
      <c r="O208" s="204">
        <f t="shared" si="115"/>
        <v>70889</v>
      </c>
      <c r="P208" s="204">
        <f t="shared" si="115"/>
        <v>69060</v>
      </c>
      <c r="Q208" s="204">
        <f t="shared" si="115"/>
        <v>67020</v>
      </c>
      <c r="R208" s="204">
        <f t="shared" si="115"/>
        <v>72291</v>
      </c>
      <c r="S208" s="205"/>
      <c r="T208" s="3"/>
      <c r="U208" s="3"/>
      <c r="V208" s="3"/>
      <c r="W208" s="3"/>
      <c r="X208" s="3"/>
      <c r="Y208" s="3"/>
      <c r="Z208" s="3"/>
    </row>
    <row r="209" ht="15.0" customHeight="1">
      <c r="A209" s="120">
        <v>41091.0</v>
      </c>
      <c r="B209" s="139">
        <f>Input!J$50</f>
        <v>44187</v>
      </c>
      <c r="C209" s="3"/>
      <c r="D209" s="201" t="s">
        <v>221</v>
      </c>
      <c r="E209" s="5"/>
      <c r="F209" s="6"/>
      <c r="G209" s="41">
        <f>+EDATE(R207,-1)</f>
        <v>42826</v>
      </c>
      <c r="H209" s="41">
        <f t="shared" ref="H209:R209" si="116">+EDATE(G209,-1)</f>
        <v>42795</v>
      </c>
      <c r="I209" s="41">
        <f t="shared" si="116"/>
        <v>42767</v>
      </c>
      <c r="J209" s="41">
        <f t="shared" si="116"/>
        <v>42736</v>
      </c>
      <c r="K209" s="41">
        <f t="shared" si="116"/>
        <v>42705</v>
      </c>
      <c r="L209" s="41">
        <f t="shared" si="116"/>
        <v>42675</v>
      </c>
      <c r="M209" s="41">
        <f t="shared" si="116"/>
        <v>42644</v>
      </c>
      <c r="N209" s="41">
        <f t="shared" si="116"/>
        <v>42614</v>
      </c>
      <c r="O209" s="41">
        <f t="shared" si="116"/>
        <v>42583</v>
      </c>
      <c r="P209" s="41">
        <f t="shared" si="116"/>
        <v>42552</v>
      </c>
      <c r="Q209" s="41">
        <f t="shared" si="116"/>
        <v>42522</v>
      </c>
      <c r="R209" s="41">
        <f t="shared" si="116"/>
        <v>42491</v>
      </c>
      <c r="S209" s="205"/>
      <c r="T209" s="3"/>
      <c r="U209" s="3"/>
      <c r="V209" s="3"/>
      <c r="W209" s="3"/>
      <c r="X209" s="3"/>
      <c r="Y209" s="3"/>
      <c r="Z209" s="3"/>
    </row>
    <row r="210" ht="15.0" customHeight="1">
      <c r="A210" s="120">
        <v>41122.0</v>
      </c>
      <c r="B210" s="139">
        <f>Input!K$50</f>
        <v>44187</v>
      </c>
      <c r="C210" s="3"/>
      <c r="D210" s="203" t="s">
        <v>223</v>
      </c>
      <c r="E210" s="5"/>
      <c r="F210" s="6"/>
      <c r="G210" s="204">
        <f t="shared" ref="G210:R210" si="117">VLOOKUP(G209,$A$2:$B$349,2,0)</f>
        <v>66240</v>
      </c>
      <c r="H210" s="204">
        <f t="shared" si="117"/>
        <v>65323</v>
      </c>
      <c r="I210" s="204">
        <f t="shared" si="117"/>
        <v>65323</v>
      </c>
      <c r="J210" s="204">
        <f t="shared" si="117"/>
        <v>65203</v>
      </c>
      <c r="K210" s="204">
        <f t="shared" si="117"/>
        <v>65263</v>
      </c>
      <c r="L210" s="204">
        <f t="shared" si="117"/>
        <v>64123</v>
      </c>
      <c r="M210" s="204">
        <f t="shared" si="117"/>
        <v>67637</v>
      </c>
      <c r="N210" s="204">
        <f t="shared" si="117"/>
        <v>64123</v>
      </c>
      <c r="O210" s="204">
        <f t="shared" si="117"/>
        <v>62366</v>
      </c>
      <c r="P210" s="204">
        <f t="shared" si="117"/>
        <v>62366</v>
      </c>
      <c r="Q210" s="204">
        <f t="shared" si="117"/>
        <v>60535</v>
      </c>
      <c r="R210" s="204">
        <f t="shared" si="117"/>
        <v>60535</v>
      </c>
      <c r="S210" s="29"/>
      <c r="T210" s="3"/>
      <c r="U210" s="3"/>
      <c r="V210" s="3"/>
      <c r="W210" s="3"/>
      <c r="X210" s="3"/>
      <c r="Y210" s="3"/>
      <c r="Z210" s="3"/>
    </row>
    <row r="211" ht="15.75" customHeight="1">
      <c r="A211" s="120">
        <v>41153.0</v>
      </c>
      <c r="B211" s="139">
        <f>Input!L$50</f>
        <v>44187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20">
        <v>41183.0</v>
      </c>
      <c r="B212" s="139">
        <f>Input!M$50</f>
        <v>46062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20">
        <v>41214.0</v>
      </c>
      <c r="B213" s="139">
        <f>Input!N$50</f>
        <v>51687</v>
      </c>
      <c r="C213" s="3"/>
      <c r="D213" s="3"/>
      <c r="E213" s="3"/>
      <c r="F213" s="3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20">
        <v>41244.0</v>
      </c>
      <c r="B214" s="139">
        <f>Input!O$50</f>
        <v>46062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20">
        <v>41275.0</v>
      </c>
      <c r="B215" s="139">
        <f>Input!P$50</f>
        <v>46062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20">
        <v>41306.0</v>
      </c>
      <c r="B216" s="139">
        <f>Input!Q$50</f>
        <v>46062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20">
        <v>41334.0</v>
      </c>
      <c r="B217" s="139">
        <f>Input!R$50</f>
        <v>46062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20">
        <v>41365.0</v>
      </c>
      <c r="B218" s="139">
        <f>Input!G$52</f>
        <v>46062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20">
        <v>41395.0</v>
      </c>
      <c r="B219" s="139">
        <f>Input!H$52</f>
        <v>56772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20">
        <v>41426.0</v>
      </c>
      <c r="B220" s="139">
        <f>Input!I$52</f>
        <v>48204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20">
        <v>41456.0</v>
      </c>
      <c r="B221" s="139">
        <f>Input!J$52</f>
        <v>49662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20">
        <v>41487.0</v>
      </c>
      <c r="B222" s="139">
        <f>Input!K$52</f>
        <v>49662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20">
        <v>41518.0</v>
      </c>
      <c r="B223" s="139">
        <f>Input!L$52</f>
        <v>57939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20">
        <v>41548.0</v>
      </c>
      <c r="B224" s="139">
        <f>Input!M$52</f>
        <v>52421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20">
        <v>41579.0</v>
      </c>
      <c r="B225" s="139">
        <f>Input!G$54</f>
        <v>63457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20">
        <v>41609.0</v>
      </c>
      <c r="B226" s="139">
        <f>Input!O$52</f>
        <v>52421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20">
        <v>41640.0</v>
      </c>
      <c r="B227" s="139">
        <f>Input!P$52</f>
        <v>52421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20">
        <v>41671.0</v>
      </c>
      <c r="B228" s="139">
        <f>Input!Q$52</f>
        <v>52421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20">
        <v>41699.0</v>
      </c>
      <c r="B229" s="139">
        <f>Input!R$52</f>
        <v>52421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20">
        <v>41730.0</v>
      </c>
      <c r="B230" s="139" t="str">
        <f>#REF!</f>
        <v>#REF!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20">
        <v>41760.0</v>
      </c>
      <c r="B231" s="139">
        <f>Input!H$54</f>
        <v>55180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20">
        <v>41791.0</v>
      </c>
      <c r="B232" s="139">
        <f>Input!I$54</f>
        <v>55180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20">
        <v>41821.0</v>
      </c>
      <c r="B233" s="139">
        <f>Input!J$54</f>
        <v>56840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20">
        <v>41852.0</v>
      </c>
      <c r="B234" s="139">
        <f>Input!K$54</f>
        <v>56840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20">
        <v>41883.0</v>
      </c>
      <c r="B235" s="139">
        <f>Input!L$54</f>
        <v>58829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20">
        <v>41913.0</v>
      </c>
      <c r="B236" s="139">
        <f>Input!M$54</f>
        <v>58829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20">
        <v>41944.0</v>
      </c>
      <c r="B237" s="139">
        <f>Input!N$54</f>
        <v>62807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20">
        <v>41974.0</v>
      </c>
      <c r="B238" s="139">
        <f>Input!O$54</f>
        <v>58829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20">
        <v>42005.0</v>
      </c>
      <c r="B239" s="139">
        <f>Input!P$54</f>
        <v>58829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20">
        <v>42036.0</v>
      </c>
      <c r="B240" s="139">
        <f>Input!Q$54</f>
        <v>29415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20">
        <v>42064.0</v>
      </c>
      <c r="B241" s="139">
        <f>Input!R$54</f>
        <v>63031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20">
        <v>42095.0</v>
      </c>
      <c r="B242" s="139">
        <f>Input!G$56</f>
        <v>64921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20">
        <v>42125.0</v>
      </c>
      <c r="B243" s="139">
        <f>Input!H$56</f>
        <v>60535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20">
        <v>42156.0</v>
      </c>
      <c r="B244" s="139">
        <f>Input!I$56</f>
        <v>60535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20">
        <v>42186.0</v>
      </c>
      <c r="B245" s="139">
        <f>Input!J$56</f>
        <v>62366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20">
        <v>42217.0</v>
      </c>
      <c r="B246" s="139">
        <f>Input!K$56</f>
        <v>62366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20">
        <v>42248.0</v>
      </c>
      <c r="B247" s="139">
        <f>Input!L$56</f>
        <v>64123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20">
        <v>42278.0</v>
      </c>
      <c r="B248" s="139">
        <f>Input!M$56</f>
        <v>67637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20">
        <v>42309.0</v>
      </c>
      <c r="B249" s="139">
        <f>Input!N$56</f>
        <v>64123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20">
        <v>42339.0</v>
      </c>
      <c r="B250" s="139">
        <f>Input!O$56</f>
        <v>65263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20">
        <v>42370.0</v>
      </c>
      <c r="B251" s="139">
        <f>Input!P$56</f>
        <v>65203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20">
        <v>42401.0</v>
      </c>
      <c r="B252" s="139">
        <f>Input!Q$56</f>
        <v>65323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20">
        <v>42430.0</v>
      </c>
      <c r="B253" s="139">
        <f>Input!R$56</f>
        <v>65323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20">
        <v>42461.0</v>
      </c>
      <c r="B254" s="139">
        <f>Input!G$56</f>
        <v>64921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20">
        <v>42491.0</v>
      </c>
      <c r="B255" s="139">
        <f>Input!H$56</f>
        <v>60535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20">
        <v>42522.0</v>
      </c>
      <c r="B256" s="139">
        <f>Input!I$56</f>
        <v>60535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20">
        <v>42552.0</v>
      </c>
      <c r="B257" s="139">
        <f>Input!J$56</f>
        <v>62366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20">
        <v>42583.0</v>
      </c>
      <c r="B258" s="139">
        <f>Input!K$56</f>
        <v>62366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20">
        <v>42614.0</v>
      </c>
      <c r="B259" s="139">
        <f>Input!L$56</f>
        <v>64123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20">
        <v>42644.0</v>
      </c>
      <c r="B260" s="139">
        <f>Input!M$56</f>
        <v>67637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20">
        <v>42675.0</v>
      </c>
      <c r="B261" s="139">
        <f>Input!N$56</f>
        <v>64123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20">
        <v>42705.0</v>
      </c>
      <c r="B262" s="139">
        <f>Input!O$56</f>
        <v>65263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20">
        <v>42736.0</v>
      </c>
      <c r="B263" s="139">
        <f>Input!P$56</f>
        <v>65203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20">
        <v>42767.0</v>
      </c>
      <c r="B264" s="139">
        <f>Input!Q$56</f>
        <v>65323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20">
        <v>42795.0</v>
      </c>
      <c r="B265" s="139">
        <f>Input!R$56</f>
        <v>65323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20">
        <v>42826.0</v>
      </c>
      <c r="B266" s="139">
        <f>Input!G$58</f>
        <v>66240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20">
        <v>42856.0</v>
      </c>
      <c r="B267" s="139">
        <f>Input!H$58</f>
        <v>72291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20">
        <v>42887.0</v>
      </c>
      <c r="B268" s="139">
        <f>Input!I$58</f>
        <v>67020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20">
        <v>42917.0</v>
      </c>
      <c r="B269" s="139">
        <f>Input!J$58</f>
        <v>69060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20">
        <v>42948.0</v>
      </c>
      <c r="B270" s="139">
        <f>Input!K$58</f>
        <v>70889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20">
        <v>42979.0</v>
      </c>
      <c r="B271" s="139">
        <f>Input!M$58</f>
        <v>73688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20">
        <v>43009.0</v>
      </c>
      <c r="B272" s="139">
        <f>Input!N$58</f>
        <v>77272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20">
        <v>43040.0</v>
      </c>
      <c r="B273" s="139" t="str">
        <f>#REF!</f>
        <v>#REF!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20">
        <v>43070.0</v>
      </c>
      <c r="B274" s="139">
        <f>Input!O$58</f>
        <v>83704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20">
        <v>43101.0</v>
      </c>
      <c r="B275" s="139">
        <f>Input!P$58</f>
        <v>74866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20">
        <v>43132.0</v>
      </c>
      <c r="B276" s="139">
        <f>Input!Q$58</f>
        <v>74866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20">
        <v>43160.0</v>
      </c>
      <c r="B277" s="139">
        <f>Input!R$58</f>
        <v>78739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20">
        <v>43191.0</v>
      </c>
      <c r="B278" s="139">
        <f>Input!G$60</f>
        <v>76157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20">
        <v>43221.0</v>
      </c>
      <c r="B279" s="139">
        <f>Input!H$60</f>
        <v>76157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20">
        <v>43252.0</v>
      </c>
      <c r="B280" s="139">
        <f>Input!I$60</f>
        <v>186250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20">
        <v>43282.0</v>
      </c>
      <c r="B281" s="139">
        <f>Input!J$60</f>
        <v>89232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20">
        <v>43313.0</v>
      </c>
      <c r="B282" s="139">
        <f>Input!K$60</f>
        <v>89232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20">
        <v>43344.0</v>
      </c>
      <c r="B283" s="139">
        <f>Input!L$60</f>
        <v>91806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20">
        <v>43374.0</v>
      </c>
      <c r="B284" s="139">
        <f>Input!M$60</f>
        <v>90090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20">
        <v>43405.0</v>
      </c>
      <c r="B285" s="139">
        <f>Input!N$60</f>
        <v>90090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20">
        <v>43435.0</v>
      </c>
      <c r="B286" s="139">
        <f>Input!O$60</f>
        <v>90090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20">
        <v>43466.0</v>
      </c>
      <c r="B287" s="139">
        <f>Input!P$60</f>
        <v>90090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20">
        <v>43497.0</v>
      </c>
      <c r="B288" s="139">
        <f>Input!Q$60</f>
        <v>90090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20">
        <v>43525.0</v>
      </c>
      <c r="B289" s="139">
        <f>Input!R$60</f>
        <v>95238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20">
        <v>43556.0</v>
      </c>
      <c r="B290" s="139">
        <f>Input!G$62</f>
        <v>91806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20">
        <v>43586.0</v>
      </c>
      <c r="B291" s="139">
        <f>Input!H$62</f>
        <v>91806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20">
        <v>43617.0</v>
      </c>
      <c r="B292" s="139">
        <f>Input!I$62</f>
        <v>91806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20">
        <v>43647.0</v>
      </c>
      <c r="B293" s="139">
        <f>Input!J$62</f>
        <v>94588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20">
        <v>43678.0</v>
      </c>
      <c r="B294" s="139">
        <f>Input!K$62</f>
        <v>98124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20">
        <v>43709.0</v>
      </c>
      <c r="B295" s="139">
        <f>Input!L$62</f>
        <v>96356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20">
        <v>43739.0</v>
      </c>
      <c r="B296" s="139">
        <f>Input!M$62</f>
        <v>96356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20">
        <v>43770.0</v>
      </c>
      <c r="B297" s="139">
        <f>Input!N$62</f>
        <v>96356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20">
        <v>43800.0</v>
      </c>
      <c r="B298" s="139">
        <f>Input!O$62</f>
        <v>96356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20">
        <v>43831.0</v>
      </c>
      <c r="B299" s="139">
        <f>Input!P$62</f>
        <v>96356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20">
        <v>43862.0</v>
      </c>
      <c r="B300" s="139">
        <f>Input!Q$62</f>
        <v>96356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20">
        <v>43891.0</v>
      </c>
      <c r="B301" s="139">
        <f>Input!R$62</f>
        <v>104312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20">
        <v>43922.0</v>
      </c>
      <c r="B302" s="139">
        <f>Input!G$64</f>
        <v>99008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20">
        <v>43952.0</v>
      </c>
      <c r="B303" s="139">
        <f>Input!H$64</f>
        <v>99008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20">
        <v>43983.0</v>
      </c>
      <c r="B304" s="139">
        <f>Input!I$64</f>
        <v>99008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20">
        <v>44013.0</v>
      </c>
      <c r="B305" s="139">
        <f>Input!J$64</f>
        <v>65047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20">
        <v>44044.0</v>
      </c>
      <c r="B306" s="139">
        <f>Input!K$64</f>
        <v>102032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20">
        <v>44075.0</v>
      </c>
      <c r="B307" s="139">
        <f>Input!L$64</f>
        <v>114046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20">
        <v>44105.0</v>
      </c>
      <c r="B308" s="139">
        <f>Input!M$64</f>
        <v>106587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20">
        <v>44136.0</v>
      </c>
      <c r="B309" s="139">
        <f>Input!N$64</f>
        <v>106587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20">
        <v>44166.0</v>
      </c>
      <c r="B310" s="139">
        <f>Input!O$64</f>
        <v>106587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20">
        <v>44197.0</v>
      </c>
      <c r="B311" s="139">
        <f>Input!P$64</f>
        <v>106587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20">
        <v>44228.0</v>
      </c>
      <c r="B312" s="139">
        <f>Input!Q$64</f>
        <v>106587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20">
        <v>44256.0</v>
      </c>
      <c r="B313" s="139">
        <f>Input!R$64</f>
        <v>106587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20">
        <v>44287.0</v>
      </c>
      <c r="B314" s="139">
        <f>Input!G$66</f>
        <v>106587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20">
        <v>44317.0</v>
      </c>
      <c r="B315" s="139">
        <f>Input!H$66</f>
        <v>106587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20">
        <v>44348.0</v>
      </c>
      <c r="B316" s="139">
        <f>Input!I$66</f>
        <v>106587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20">
        <v>44378.0</v>
      </c>
      <c r="B317" s="139">
        <f>Input!J$66</f>
        <v>109746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20">
        <v>44409.0</v>
      </c>
      <c r="B318" s="139">
        <f>Input!K$66</f>
        <v>109746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20">
        <v>44440.0</v>
      </c>
      <c r="B319" s="139">
        <f>Input!L$66</f>
        <v>109746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20">
        <v>44470.0</v>
      </c>
      <c r="B320" s="139">
        <f>Input!M$66</f>
        <v>109746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20">
        <v>44501.0</v>
      </c>
      <c r="B321" s="139">
        <f>Input!N$66</f>
        <v>109746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20">
        <v>44531.0</v>
      </c>
      <c r="B322" s="139">
        <f>Input!O$66</f>
        <v>109746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20">
        <v>44562.0</v>
      </c>
      <c r="B323" s="139">
        <f>Input!P$66</f>
        <v>109746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20">
        <v>44593.0</v>
      </c>
      <c r="B324" s="139">
        <f>Input!Q$66</f>
        <v>109746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20">
        <v>44621.0</v>
      </c>
      <c r="B325" s="139">
        <f>Input!R$66</f>
        <v>109746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20">
        <v>44652.0</v>
      </c>
      <c r="B326" s="139">
        <f>Input!G$68</f>
        <v>109746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20">
        <v>44682.0</v>
      </c>
      <c r="B327" s="139">
        <f>Input!H$68</f>
        <v>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20">
        <v>44713.0</v>
      </c>
      <c r="B328" s="139" t="str">
        <f>Input!I$68</f>
        <v/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20">
        <v>44743.0</v>
      </c>
      <c r="B329" s="139" t="str">
        <f>Input!J$68</f>
        <v/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20">
        <v>44774.0</v>
      </c>
      <c r="B330" s="139" t="str">
        <f>Input!K$68</f>
        <v/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20">
        <v>44805.0</v>
      </c>
      <c r="B331" s="139" t="str">
        <f>Input!L$68</f>
        <v/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20">
        <v>44835.0</v>
      </c>
      <c r="B332" s="139" t="str">
        <f>Input!M$68</f>
        <v/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20">
        <v>44866.0</v>
      </c>
      <c r="B333" s="139" t="str">
        <f>Input!N$68</f>
        <v/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20">
        <v>44896.0</v>
      </c>
      <c r="B334" s="139" t="str">
        <f>Input!O$68</f>
        <v/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20">
        <v>44927.0</v>
      </c>
      <c r="B335" s="139" t="str">
        <f>Input!P$68</f>
        <v/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20">
        <v>44958.0</v>
      </c>
      <c r="B336" s="139" t="str">
        <f>Input!Q$68</f>
        <v/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20">
        <v>44986.0</v>
      </c>
      <c r="B337" s="139" t="str">
        <f>Input!R$68</f>
        <v/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20">
        <v>45017.0</v>
      </c>
      <c r="B338" s="139" t="str">
        <f>Input!G$70</f>
        <v/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20">
        <v>45047.0</v>
      </c>
      <c r="B339" s="139" t="str">
        <f>Input!H$70</f>
        <v/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20">
        <v>45078.0</v>
      </c>
      <c r="B340" s="139" t="str">
        <f>Input!I$70</f>
        <v/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20">
        <v>45108.0</v>
      </c>
      <c r="B341" s="139" t="str">
        <f>Input!J$70</f>
        <v/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20">
        <v>45139.0</v>
      </c>
      <c r="B342" s="139" t="str">
        <f>Input!K$70</f>
        <v/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20">
        <v>45170.0</v>
      </c>
      <c r="B343" s="139" t="str">
        <f>Input!L$70</f>
        <v/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20">
        <v>45200.0</v>
      </c>
      <c r="B344" s="139" t="str">
        <f>Input!M$70</f>
        <v/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20">
        <v>45231.0</v>
      </c>
      <c r="B345" s="139" t="str">
        <f>Input!N$70</f>
        <v/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20">
        <v>45261.0</v>
      </c>
      <c r="B346" s="139" t="str">
        <f>Input!O$70</f>
        <v/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20">
        <v>45292.0</v>
      </c>
      <c r="B347" s="139" t="str">
        <f>Input!P$70</f>
        <v/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20">
        <v>45323.0</v>
      </c>
      <c r="B348" s="139" t="str">
        <f>Input!Q$70</f>
        <v/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20">
        <v>45352.0</v>
      </c>
      <c r="B349" s="139" t="str">
        <f>Input!R$70</f>
        <v/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1">
    <mergeCell ref="D1:V1"/>
    <mergeCell ref="D2:V2"/>
    <mergeCell ref="D4:V4"/>
    <mergeCell ref="D6:E6"/>
    <mergeCell ref="D7:E7"/>
    <mergeCell ref="D9:I9"/>
    <mergeCell ref="J9:O9"/>
    <mergeCell ref="D204:F204"/>
    <mergeCell ref="D205:F205"/>
    <mergeCell ref="D206:F206"/>
    <mergeCell ref="D207:F207"/>
    <mergeCell ref="D208:F208"/>
    <mergeCell ref="D209:F209"/>
    <mergeCell ref="Q9:V9"/>
    <mergeCell ref="T13:V13"/>
    <mergeCell ref="D200:S200"/>
    <mergeCell ref="D201:F201"/>
    <mergeCell ref="S201:S210"/>
    <mergeCell ref="D202:F202"/>
    <mergeCell ref="D203:F203"/>
    <mergeCell ref="D210:F210"/>
  </mergeCells>
  <printOptions horizontalCentered="1"/>
  <pageMargins bottom="0.25" footer="0.0" header="0.0" left="0.5" right="0.5" top="0.5"/>
  <pageSetup orientation="landscape"/>
  <rowBreaks count="2" manualBreakCount="2">
    <brk id="56" man="1"/>
    <brk id="92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9.0"/>
    <col customWidth="1" min="3" max="3" width="34.71"/>
    <col customWidth="1" min="4" max="4" width="10.29"/>
    <col customWidth="1" min="5" max="5" width="9.29"/>
    <col customWidth="1" min="6" max="6" width="6.57"/>
    <col customWidth="1" min="7" max="7" width="15.0"/>
    <col customWidth="1" min="8" max="8" width="3.71"/>
    <col customWidth="1" min="9" max="9" width="51.86"/>
    <col customWidth="1" min="10" max="10" width="7.86"/>
    <col customWidth="1" min="11" max="11" width="15.0"/>
    <col customWidth="1" min="12" max="12" width="9.14"/>
    <col customWidth="1" min="13" max="13" width="11.86"/>
    <col customWidth="1" min="14" max="26" width="9.14"/>
  </cols>
  <sheetData>
    <row r="1">
      <c r="A1" s="32"/>
      <c r="B1" s="32"/>
      <c r="C1" s="206"/>
      <c r="D1" s="206"/>
      <c r="E1" s="32"/>
      <c r="F1" s="206"/>
      <c r="G1" s="32"/>
      <c r="H1" s="32"/>
      <c r="I1" s="32"/>
      <c r="J1" s="207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"/>
      <c r="B2" s="49" t="s">
        <v>224</v>
      </c>
      <c r="C2" s="50"/>
      <c r="D2" s="50"/>
      <c r="E2" s="50"/>
      <c r="F2" s="50"/>
      <c r="G2" s="50"/>
      <c r="H2" s="50"/>
      <c r="I2" s="50"/>
      <c r="J2" s="50"/>
      <c r="K2" s="13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08" t="s">
        <v>182</v>
      </c>
      <c r="C3" s="53"/>
      <c r="D3" s="53"/>
      <c r="E3" s="53"/>
      <c r="F3" s="53"/>
      <c r="G3" s="53"/>
      <c r="H3" s="53"/>
      <c r="I3" s="53"/>
      <c r="J3" s="53"/>
      <c r="K3" s="20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2"/>
      <c r="B4" s="32"/>
      <c r="C4" s="206"/>
      <c r="D4" s="206"/>
      <c r="E4" s="32"/>
      <c r="F4" s="206"/>
      <c r="G4" s="32"/>
      <c r="H4" s="32"/>
      <c r="I4" s="32"/>
      <c r="J4" s="207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210"/>
      <c r="B5" s="211" t="s">
        <v>6</v>
      </c>
      <c r="C5" s="50"/>
      <c r="D5" s="50"/>
      <c r="E5" s="50"/>
      <c r="F5" s="50"/>
      <c r="G5" s="138"/>
      <c r="H5" s="212" t="s">
        <v>225</v>
      </c>
      <c r="I5" s="213" t="str">
        <f>Input!K8</f>
        <v>VARRINDER KAUR RAINA</v>
      </c>
      <c r="J5" s="50"/>
      <c r="K5" s="138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>
      <c r="A6" s="210"/>
      <c r="B6" s="214" t="s">
        <v>226</v>
      </c>
      <c r="C6" s="5"/>
      <c r="D6" s="5"/>
      <c r="E6" s="5"/>
      <c r="F6" s="5"/>
      <c r="G6" s="215"/>
      <c r="H6" s="212" t="s">
        <v>225</v>
      </c>
      <c r="I6" s="216">
        <f>Input!I11</f>
        <v>43586</v>
      </c>
      <c r="J6" s="5"/>
      <c r="K6" s="215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>
      <c r="A7" s="32"/>
      <c r="B7" s="217" t="s">
        <v>71</v>
      </c>
      <c r="C7" s="53"/>
      <c r="D7" s="53"/>
      <c r="E7" s="53"/>
      <c r="F7" s="53"/>
      <c r="G7" s="209"/>
      <c r="H7" s="212" t="s">
        <v>225</v>
      </c>
      <c r="I7" s="218">
        <f>Input!O11</f>
        <v>43586</v>
      </c>
      <c r="J7" s="53"/>
      <c r="K7" s="209"/>
      <c r="L7" s="32"/>
      <c r="M7" s="99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2"/>
      <c r="B8" s="219"/>
      <c r="C8" s="220"/>
      <c r="D8" s="220"/>
      <c r="E8" s="220"/>
      <c r="F8" s="220"/>
      <c r="G8" s="220"/>
      <c r="H8" s="32"/>
      <c r="I8" s="219"/>
      <c r="J8" s="220"/>
      <c r="K8" s="22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221"/>
      <c r="B9" s="222" t="s">
        <v>227</v>
      </c>
      <c r="C9" s="220"/>
      <c r="D9" s="220"/>
      <c r="E9" s="220"/>
      <c r="F9" s="220"/>
      <c r="G9" s="223"/>
      <c r="H9" s="221"/>
      <c r="I9" s="222" t="s">
        <v>228</v>
      </c>
      <c r="J9" s="220"/>
      <c r="K9" s="223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</row>
    <row r="10">
      <c r="A10" s="32"/>
      <c r="B10" s="219"/>
      <c r="C10" s="220"/>
      <c r="D10" s="220"/>
      <c r="E10" s="220"/>
      <c r="F10" s="220"/>
      <c r="G10" s="220"/>
      <c r="H10" s="32"/>
      <c r="I10" s="224"/>
      <c r="J10" s="225"/>
      <c r="K10" s="225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226" t="s">
        <v>229</v>
      </c>
      <c r="C11" s="227" t="s">
        <v>230</v>
      </c>
      <c r="D11" s="228" t="s">
        <v>184</v>
      </c>
      <c r="E11" s="228" t="s">
        <v>185</v>
      </c>
      <c r="F11" s="229" t="s">
        <v>15</v>
      </c>
      <c r="G11" s="230" t="s">
        <v>231</v>
      </c>
      <c r="H11" s="32"/>
      <c r="I11" s="231" t="s">
        <v>232</v>
      </c>
      <c r="J11" s="229" t="s">
        <v>15</v>
      </c>
      <c r="K11" s="232" t="s">
        <v>233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233"/>
      <c r="C12" s="234" t="s">
        <v>104</v>
      </c>
      <c r="D12" s="5"/>
      <c r="E12" s="6"/>
      <c r="F12" s="235">
        <v>1.0</v>
      </c>
      <c r="G12" s="236">
        <f>IF('Pension Cal'!Q32=0,'Pension Cal'!M46,0)</f>
        <v>3531</v>
      </c>
      <c r="H12" s="32"/>
      <c r="I12" s="237" t="s">
        <v>234</v>
      </c>
      <c r="J12" s="238" t="s">
        <v>235</v>
      </c>
      <c r="K12" s="239" t="str">
        <f>IF('Pension Cal'!Q32&lt;=0,G13/G12,0)</f>
        <v>#REF!</v>
      </c>
      <c r="L12" s="32"/>
      <c r="M12" s="240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233"/>
      <c r="C13" s="234" t="s">
        <v>105</v>
      </c>
      <c r="D13" s="5"/>
      <c r="E13" s="6"/>
      <c r="F13" s="235">
        <v>2.0</v>
      </c>
      <c r="G13" s="236" t="str">
        <f>IF('Pension Cal'!Q32=0,'Pension Cal'!R46,0)</f>
        <v>#REF!</v>
      </c>
      <c r="H13" s="32"/>
      <c r="I13" s="237" t="s">
        <v>236</v>
      </c>
      <c r="J13" s="238" t="s">
        <v>237</v>
      </c>
      <c r="K13" s="239">
        <f>IF('Pension Cal'!Q32&lt;=0,('Amount Cal'!T11-'Amount Cal'!I11)/30,0)</f>
        <v>-1.033333333</v>
      </c>
      <c r="L13" s="32"/>
      <c r="M13" s="3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233"/>
      <c r="C14" s="234" t="s">
        <v>238</v>
      </c>
      <c r="D14" s="5"/>
      <c r="E14" s="6"/>
      <c r="F14" s="241" t="s">
        <v>239</v>
      </c>
      <c r="G14" s="236" t="str">
        <f>G13-G12</f>
        <v>#REF!</v>
      </c>
      <c r="H14" s="32"/>
      <c r="I14" s="242"/>
      <c r="J14" s="16"/>
      <c r="K14" s="243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233"/>
      <c r="C15" s="244"/>
      <c r="D15" s="5"/>
      <c r="E15" s="5"/>
      <c r="F15" s="5"/>
      <c r="G15" s="215"/>
      <c r="H15" s="32"/>
      <c r="I15" s="245"/>
      <c r="J15" s="27"/>
      <c r="K15" s="246"/>
      <c r="L15" s="247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233"/>
      <c r="C16" s="248" t="s">
        <v>240</v>
      </c>
      <c r="D16" s="249">
        <f>IF(G12=0,0,'Pension Cal'!F9)</f>
        <v>35019</v>
      </c>
      <c r="E16" s="250">
        <f>IF(G12=0,0,'Amount Cal'!G11)</f>
        <v>43586</v>
      </c>
      <c r="F16" s="235">
        <v>3.0</v>
      </c>
      <c r="G16" s="251" t="str">
        <f>IF(G12=0,0,MAX('Amount Cal'!T20:T198))</f>
        <v>#REF!</v>
      </c>
      <c r="H16" s="32"/>
      <c r="I16" s="252" t="s">
        <v>241</v>
      </c>
      <c r="J16" s="238" t="s">
        <v>242</v>
      </c>
      <c r="K16" s="253" t="str">
        <f>IF('Pension Cal'!Q32&lt;=0,G16/G21,0)</f>
        <v>#REF!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233"/>
      <c r="C17" s="254" t="s">
        <v>243</v>
      </c>
      <c r="D17" s="249">
        <f>IF(G12=0,0,'Pension Cal'!F11)</f>
        <v>41883</v>
      </c>
      <c r="E17" s="250">
        <f>IF(G12=0,0,'Amount Cal'!G11)</f>
        <v>43586</v>
      </c>
      <c r="F17" s="235">
        <v>4.0</v>
      </c>
      <c r="G17" s="251" t="str">
        <f>IF(AND(G12=0,Input!I10&gt;'Pension Cal'!F11),0,SUM('Amount Cal'!S132,'Amount Cal'!S139,'Amount Cal'!S146,'Amount Cal'!S153,'Amount Cal'!S160,'Amount Cal'!S174,'Amount Cal'!S181,'Amount Cal'!S188,'Amount Cal'!S195))</f>
        <v>#REF!</v>
      </c>
      <c r="H17" s="32"/>
      <c r="I17" s="252" t="s">
        <v>244</v>
      </c>
      <c r="J17" s="238" t="s">
        <v>245</v>
      </c>
      <c r="K17" s="253" t="str">
        <f>IF('Pension Cal'!Q32&lt;=0,G17/G21,0)</f>
        <v>#REF!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233"/>
      <c r="C18" s="248" t="s">
        <v>246</v>
      </c>
      <c r="D18" s="249">
        <f>IF(G12=0,0,'Pension Cal'!F9)</f>
        <v>35019</v>
      </c>
      <c r="E18" s="250">
        <f>IF(G12=0,0,'Amount Cal'!G11)</f>
        <v>43586</v>
      </c>
      <c r="F18" s="235">
        <v>5.0</v>
      </c>
      <c r="G18" s="251" t="str">
        <f>IF(G12=0,0,VLOOKUP((MAX('Amount Cal'!T20:'Amount Cal'!T191)),('Amount Cal'!T20:'Amount Cal'!U198),2,FALSE))</f>
        <v>#REF!</v>
      </c>
      <c r="H18" s="32"/>
      <c r="I18" s="252" t="s">
        <v>247</v>
      </c>
      <c r="J18" s="238" t="s">
        <v>248</v>
      </c>
      <c r="K18" s="253" t="str">
        <f>IF('Pension Cal'!Q32&lt;=0,G18/G21,0)</f>
        <v>#REF!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233"/>
      <c r="C19" s="248" t="s">
        <v>249</v>
      </c>
      <c r="D19" s="249">
        <f>IF(G12=0,0,'Amount Cal'!I11)</f>
        <v>43617</v>
      </c>
      <c r="E19" s="250">
        <f>IF(G12=0,0,I7)</f>
        <v>43586</v>
      </c>
      <c r="F19" s="241" t="s">
        <v>250</v>
      </c>
      <c r="G19" s="251" t="str">
        <f>G20-G18</f>
        <v>#REF!</v>
      </c>
      <c r="H19" s="32"/>
      <c r="I19" s="252" t="s">
        <v>251</v>
      </c>
      <c r="J19" s="238" t="s">
        <v>252</v>
      </c>
      <c r="K19" s="253" t="str">
        <f>IF('Pension Cal'!Q32&lt;=0,G19/G21,0)</f>
        <v>#REF!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233"/>
      <c r="C20" s="248" t="s">
        <v>253</v>
      </c>
      <c r="D20" s="249">
        <f>IF(G12=0,0,'Pension Cal'!F9)</f>
        <v>35019</v>
      </c>
      <c r="E20" s="250">
        <f>IF(G12=0,0,I7)</f>
        <v>43586</v>
      </c>
      <c r="F20" s="235">
        <v>6.0</v>
      </c>
      <c r="G20" s="251" t="str">
        <f>IF(G12=0,0,MAX('Amount Cal'!U20:'Amount Cal'!U191))</f>
        <v>#REF!</v>
      </c>
      <c r="H20" s="32"/>
      <c r="I20" s="252" t="s">
        <v>254</v>
      </c>
      <c r="J20" s="238" t="s">
        <v>255</v>
      </c>
      <c r="K20" s="253" t="str">
        <f>IF('Pension Cal'!Q32&lt;=0,G20/G21,0)</f>
        <v>#REF!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8.0" customHeight="1">
      <c r="A21" s="32"/>
      <c r="B21" s="233"/>
      <c r="C21" s="255" t="s">
        <v>256</v>
      </c>
      <c r="D21" s="5"/>
      <c r="E21" s="6"/>
      <c r="F21" s="256" t="s">
        <v>257</v>
      </c>
      <c r="G21" s="257" t="str">
        <f t="shared" ref="G21:G22" si="1">SUM(G16,G20)</f>
        <v>#REF!</v>
      </c>
      <c r="H21" s="32"/>
      <c r="I21" s="258"/>
      <c r="J21" s="16"/>
      <c r="K21" s="243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8.0" customHeight="1">
      <c r="A22" s="32"/>
      <c r="B22" s="233"/>
      <c r="C22" s="255" t="s">
        <v>258</v>
      </c>
      <c r="D22" s="5"/>
      <c r="E22" s="6"/>
      <c r="F22" s="256" t="s">
        <v>259</v>
      </c>
      <c r="G22" s="257" t="str">
        <f t="shared" si="1"/>
        <v>#REF!</v>
      </c>
      <c r="H22" s="32"/>
      <c r="I22" s="233"/>
      <c r="K22" s="259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233"/>
      <c r="C23" s="244"/>
      <c r="D23" s="5"/>
      <c r="E23" s="5"/>
      <c r="F23" s="5"/>
      <c r="G23" s="215"/>
      <c r="H23" s="32"/>
      <c r="I23" s="245"/>
      <c r="J23" s="27"/>
      <c r="K23" s="246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233"/>
      <c r="C24" s="260" t="s">
        <v>260</v>
      </c>
      <c r="D24" s="16"/>
      <c r="E24" s="17"/>
      <c r="F24" s="261">
        <v>7.0</v>
      </c>
      <c r="G24" s="262" t="str">
        <f>IF(G12=0,0,G14*K13)</f>
        <v>#REF!</v>
      </c>
      <c r="H24" s="32"/>
      <c r="I24" s="237" t="s">
        <v>261</v>
      </c>
      <c r="J24" s="238" t="s">
        <v>262</v>
      </c>
      <c r="K24" s="239" t="str">
        <f>IF(G21-G24&lt;=0,0,INT(G21-G24)/G14)</f>
        <v>#REF!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233"/>
      <c r="C25" s="26"/>
      <c r="D25" s="27"/>
      <c r="E25" s="28"/>
      <c r="F25" s="29"/>
      <c r="G25" s="263"/>
      <c r="H25" s="32"/>
      <c r="I25" s="237" t="s">
        <v>263</v>
      </c>
      <c r="J25" s="238" t="s">
        <v>264</v>
      </c>
      <c r="K25" s="253" t="str">
        <f>IF('Pension Cal'!Q32&lt;=0,G24/G22,0)</f>
        <v>#REF!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233"/>
      <c r="C26" s="244"/>
      <c r="D26" s="5"/>
      <c r="E26" s="5"/>
      <c r="F26" s="5"/>
      <c r="G26" s="215"/>
      <c r="H26" s="32"/>
      <c r="I26" s="264"/>
      <c r="J26" s="265"/>
      <c r="K26" s="266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233"/>
      <c r="C27" s="267" t="s">
        <v>265</v>
      </c>
      <c r="D27" s="16"/>
      <c r="E27" s="17"/>
      <c r="F27" s="268">
        <v>8.0</v>
      </c>
      <c r="G27" s="262" t="str">
        <f>IF(G12=0,0,IF(Input!I10&lt;'Pension Cal'!F11,'Pension Cal'!V37,'Pension Cal'!W37))</f>
        <v>#REF!</v>
      </c>
      <c r="H27" s="32"/>
      <c r="I27" s="237" t="s">
        <v>266</v>
      </c>
      <c r="J27" s="238" t="s">
        <v>267</v>
      </c>
      <c r="K27" s="269" t="str">
        <f>IF(G12=0,0,G13/G27)</f>
        <v>#REF!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233"/>
      <c r="C28" s="20"/>
      <c r="E28" s="21"/>
      <c r="F28" s="205"/>
      <c r="G28" s="270"/>
      <c r="H28" s="32"/>
      <c r="I28" s="237" t="s">
        <v>268</v>
      </c>
      <c r="J28" s="238" t="s">
        <v>269</v>
      </c>
      <c r="K28" s="271" t="str">
        <f>IF(G12=0,0,G21/G27)</f>
        <v>#REF!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272"/>
      <c r="C29" s="273"/>
      <c r="D29" s="274"/>
      <c r="E29" s="275"/>
      <c r="F29" s="276"/>
      <c r="G29" s="277"/>
      <c r="H29" s="32"/>
      <c r="I29" s="278" t="s">
        <v>270</v>
      </c>
      <c r="J29" s="279" t="s">
        <v>271</v>
      </c>
      <c r="K29" s="280" t="str">
        <f>IF(G12=0,0,G24/G27)</f>
        <v>#REF!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281"/>
      <c r="C30" s="281"/>
      <c r="D30" s="281"/>
      <c r="E30" s="281"/>
      <c r="F30" s="282"/>
      <c r="G30" s="281"/>
      <c r="H30" s="32"/>
      <c r="I30" s="32"/>
      <c r="J30" s="207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226" t="s">
        <v>272</v>
      </c>
      <c r="C31" s="227" t="s">
        <v>230</v>
      </c>
      <c r="D31" s="228" t="s">
        <v>184</v>
      </c>
      <c r="E31" s="228" t="s">
        <v>185</v>
      </c>
      <c r="F31" s="229" t="s">
        <v>15</v>
      </c>
      <c r="G31" s="230" t="s">
        <v>231</v>
      </c>
      <c r="H31" s="32"/>
      <c r="I31" s="231" t="s">
        <v>232</v>
      </c>
      <c r="J31" s="229" t="s">
        <v>15</v>
      </c>
      <c r="K31" s="232" t="s">
        <v>233</v>
      </c>
      <c r="L31" s="32"/>
      <c r="M31" s="283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233"/>
      <c r="C32" s="234" t="s">
        <v>104</v>
      </c>
      <c r="D32" s="5"/>
      <c r="E32" s="6"/>
      <c r="F32" s="235">
        <v>1.0</v>
      </c>
      <c r="G32" s="236">
        <f>IF('Pension Cal'!I13&lt;'Pension Cal'!I12,'Pension Cal'!M51,0)</f>
        <v>0</v>
      </c>
      <c r="H32" s="32"/>
      <c r="I32" s="237" t="s">
        <v>234</v>
      </c>
      <c r="J32" s="238" t="s">
        <v>235</v>
      </c>
      <c r="K32" s="239">
        <f>IF(G32=0,0,G33/G32)</f>
        <v>0</v>
      </c>
      <c r="L32" s="32"/>
      <c r="M32" s="73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233"/>
      <c r="C33" s="234" t="s">
        <v>105</v>
      </c>
      <c r="D33" s="5"/>
      <c r="E33" s="6"/>
      <c r="F33" s="235">
        <v>2.0</v>
      </c>
      <c r="G33" s="236">
        <f>IF('Pension Cal'!I13&lt;'Pension Cal'!I12,'Pension Cal'!R51,0)</f>
        <v>0</v>
      </c>
      <c r="H33" s="32"/>
      <c r="I33" s="237" t="s">
        <v>236</v>
      </c>
      <c r="J33" s="238" t="s">
        <v>237</v>
      </c>
      <c r="K33" s="251">
        <f>IF(G32=0,0,('Amount Cal'!T11-'Amount Cal'!I11)/30)</f>
        <v>0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233"/>
      <c r="C34" s="234" t="s">
        <v>238</v>
      </c>
      <c r="D34" s="5"/>
      <c r="E34" s="6"/>
      <c r="F34" s="241" t="s">
        <v>239</v>
      </c>
      <c r="G34" s="236">
        <f>G33-G32</f>
        <v>0</v>
      </c>
      <c r="H34" s="32"/>
      <c r="I34" s="284"/>
      <c r="J34" s="16"/>
      <c r="K34" s="16"/>
      <c r="L34" s="247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233"/>
      <c r="C35" s="285"/>
      <c r="D35" s="5"/>
      <c r="E35" s="5"/>
      <c r="F35" s="5"/>
      <c r="G35" s="215"/>
      <c r="H35" s="32"/>
      <c r="I35" s="27"/>
      <c r="J35" s="27"/>
      <c r="K35" s="27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233"/>
      <c r="C36" s="248" t="s">
        <v>240</v>
      </c>
      <c r="D36" s="249">
        <f>IF(G32=0,0,'Pension Cal'!F9)</f>
        <v>0</v>
      </c>
      <c r="E36" s="250">
        <f>IF(G32=0,0,'Amount Cal'!M11)</f>
        <v>0</v>
      </c>
      <c r="F36" s="235">
        <v>3.0</v>
      </c>
      <c r="G36" s="251">
        <f>IF(G32=0,0,MAX('Amount Cal'!T20:T198))</f>
        <v>0</v>
      </c>
      <c r="H36" s="32"/>
      <c r="I36" s="252" t="s">
        <v>273</v>
      </c>
      <c r="J36" s="238" t="s">
        <v>242</v>
      </c>
      <c r="K36" s="253">
        <f>IF(G32=0,0,G36/G41)</f>
        <v>0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233"/>
      <c r="C37" s="254" t="s">
        <v>243</v>
      </c>
      <c r="D37" s="249">
        <f>IF(G32=0,0,'Pension Cal'!F11)</f>
        <v>0</v>
      </c>
      <c r="E37" s="250">
        <f>IF(G32=0,0,'Amount Cal'!T11)</f>
        <v>0</v>
      </c>
      <c r="F37" s="235">
        <v>4.0</v>
      </c>
      <c r="G37" s="251">
        <f>IF(AND(G32=0,Input!I10&gt;'Pension Cal'!F11),0,SUM('Amount Cal'!S132,'Amount Cal'!S139,'Amount Cal'!S146,'Amount Cal'!S153,'Amount Cal'!S160,'Amount Cal'!S174,'Amount Cal'!S181,'Amount Cal'!S188,'Amount Cal'!S195))</f>
        <v>0</v>
      </c>
      <c r="H37" s="32"/>
      <c r="I37" s="252" t="s">
        <v>274</v>
      </c>
      <c r="J37" s="238" t="s">
        <v>245</v>
      </c>
      <c r="K37" s="253">
        <f>IF(G32=0,0,G37/G41)</f>
        <v>0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233"/>
      <c r="C38" s="248" t="s">
        <v>246</v>
      </c>
      <c r="D38" s="249">
        <f>IF(G32=0,0,'Pension Cal'!F9)</f>
        <v>0</v>
      </c>
      <c r="E38" s="250">
        <f>IF(G32=0,0,'Amount Cal'!M11)</f>
        <v>0</v>
      </c>
      <c r="F38" s="235">
        <v>5.0</v>
      </c>
      <c r="G38" s="251">
        <f>IF(G32=0,0,VLOOKUP((MAX('Amount Cal'!T20:'Amount Cal'!T198)),('Amount Cal'!T20:'Amount Cal'!U198),2,FALSE))</f>
        <v>0</v>
      </c>
      <c r="H38" s="32"/>
      <c r="I38" s="252" t="s">
        <v>275</v>
      </c>
      <c r="J38" s="238" t="s">
        <v>248</v>
      </c>
      <c r="K38" s="253">
        <f>IF(G32=0,0,G38/G41)</f>
        <v>0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233"/>
      <c r="C39" s="248" t="s">
        <v>249</v>
      </c>
      <c r="D39" s="249">
        <f>IF(G32=0,0,'Amount Cal'!O11)</f>
        <v>0</v>
      </c>
      <c r="E39" s="250">
        <f>IF(G32=0,0,I29)</f>
        <v>0</v>
      </c>
      <c r="F39" s="241" t="s">
        <v>250</v>
      </c>
      <c r="G39" s="251">
        <f>G40-G38</f>
        <v>0</v>
      </c>
      <c r="H39" s="32"/>
      <c r="I39" s="252" t="s">
        <v>273</v>
      </c>
      <c r="J39" s="238" t="s">
        <v>252</v>
      </c>
      <c r="K39" s="253">
        <f>IF(G32=0,0,G39/G41)</f>
        <v>0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233"/>
      <c r="C40" s="248" t="s">
        <v>253</v>
      </c>
      <c r="D40" s="249">
        <f>IF(G32=0,0,'Pension Cal'!F9)</f>
        <v>0</v>
      </c>
      <c r="E40" s="250">
        <f>IF(G32=0,0,I29)</f>
        <v>0</v>
      </c>
      <c r="F40" s="235">
        <v>6.0</v>
      </c>
      <c r="G40" s="251">
        <f>IF(G32=0,0,MAX('Amount Cal'!U20:'Amount Cal'!U198))</f>
        <v>0</v>
      </c>
      <c r="H40" s="32"/>
      <c r="I40" s="252" t="s">
        <v>276</v>
      </c>
      <c r="J40" s="238" t="s">
        <v>255</v>
      </c>
      <c r="K40" s="253">
        <f>IF(G32=0,0,G40/G41)</f>
        <v>0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233"/>
      <c r="C41" s="234" t="s">
        <v>277</v>
      </c>
      <c r="D41" s="5"/>
      <c r="E41" s="6"/>
      <c r="F41" s="256" t="s">
        <v>257</v>
      </c>
      <c r="G41" s="257">
        <f t="shared" ref="G41:G42" si="2">SUM(G36,G40)</f>
        <v>0</v>
      </c>
      <c r="H41" s="32"/>
      <c r="I41" s="286"/>
      <c r="J41" s="16"/>
      <c r="K41" s="243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233"/>
      <c r="C42" s="255" t="s">
        <v>258</v>
      </c>
      <c r="D42" s="5"/>
      <c r="E42" s="6"/>
      <c r="F42" s="256" t="s">
        <v>259</v>
      </c>
      <c r="G42" s="257">
        <f t="shared" si="2"/>
        <v>0</v>
      </c>
      <c r="H42" s="32"/>
      <c r="I42" s="233"/>
      <c r="K42" s="259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233"/>
      <c r="C43" s="285"/>
      <c r="D43" s="5"/>
      <c r="E43" s="5"/>
      <c r="F43" s="5"/>
      <c r="G43" s="215"/>
      <c r="H43" s="32"/>
      <c r="I43" s="245"/>
      <c r="J43" s="27"/>
      <c r="K43" s="246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233"/>
      <c r="C44" s="260" t="s">
        <v>260</v>
      </c>
      <c r="D44" s="16"/>
      <c r="E44" s="17"/>
      <c r="F44" s="261">
        <v>7.0</v>
      </c>
      <c r="G44" s="262">
        <f>IF(G32=0,0,G34*K33)</f>
        <v>0</v>
      </c>
      <c r="H44" s="32"/>
      <c r="I44" s="237" t="s">
        <v>261</v>
      </c>
      <c r="J44" s="238" t="s">
        <v>262</v>
      </c>
      <c r="K44" s="239">
        <f>IF(G41-G44&lt;=0,0,INT(G41-G44)/G34)</f>
        <v>0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233"/>
      <c r="C45" s="26"/>
      <c r="D45" s="27"/>
      <c r="E45" s="28"/>
      <c r="F45" s="29"/>
      <c r="G45" s="263"/>
      <c r="H45" s="32"/>
      <c r="I45" s="237" t="s">
        <v>263</v>
      </c>
      <c r="J45" s="238" t="s">
        <v>264</v>
      </c>
      <c r="K45" s="253">
        <f>IF(G32=0,0,G44/G42)</f>
        <v>0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233"/>
      <c r="C46" s="285"/>
      <c r="D46" s="5"/>
      <c r="E46" s="5"/>
      <c r="F46" s="5"/>
      <c r="G46" s="215"/>
      <c r="H46" s="32"/>
      <c r="I46" s="287"/>
      <c r="J46" s="288"/>
      <c r="K46" s="289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233"/>
      <c r="C47" s="267" t="s">
        <v>265</v>
      </c>
      <c r="D47" s="16"/>
      <c r="E47" s="17"/>
      <c r="F47" s="268">
        <v>8.0</v>
      </c>
      <c r="G47" s="262">
        <f>IF(G32=0,0,IF(Input!I10&lt;'Pension Cal'!F11,'Pension Cal'!V37,'Pension Cal'!W37))</f>
        <v>0</v>
      </c>
      <c r="H47" s="32"/>
      <c r="I47" s="237" t="s">
        <v>266</v>
      </c>
      <c r="J47" s="238" t="s">
        <v>267</v>
      </c>
      <c r="K47" s="269">
        <f>IF(G32=0,0,G33/G47)</f>
        <v>0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233"/>
      <c r="C48" s="20"/>
      <c r="E48" s="21"/>
      <c r="F48" s="205"/>
      <c r="G48" s="270"/>
      <c r="H48" s="32"/>
      <c r="I48" s="237" t="s">
        <v>268</v>
      </c>
      <c r="J48" s="238" t="s">
        <v>269</v>
      </c>
      <c r="K48" s="271">
        <f>IF(G32=0,0,G41/G47)</f>
        <v>0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272"/>
      <c r="C49" s="273"/>
      <c r="D49" s="274"/>
      <c r="E49" s="275"/>
      <c r="F49" s="276"/>
      <c r="G49" s="263"/>
      <c r="H49" s="32"/>
      <c r="I49" s="278" t="s">
        <v>270</v>
      </c>
      <c r="J49" s="279" t="s">
        <v>271</v>
      </c>
      <c r="K49" s="280">
        <f>IF(G32=0,0,G44/G47)</f>
        <v>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206"/>
      <c r="D50" s="206"/>
      <c r="E50" s="32"/>
      <c r="F50" s="206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226" t="s">
        <v>278</v>
      </c>
      <c r="C51" s="290" t="s">
        <v>230</v>
      </c>
      <c r="D51" s="50"/>
      <c r="E51" s="291"/>
      <c r="F51" s="229" t="s">
        <v>15</v>
      </c>
      <c r="G51" s="292" t="s">
        <v>231</v>
      </c>
      <c r="H51" s="32"/>
      <c r="I51" s="231" t="s">
        <v>232</v>
      </c>
      <c r="J51" s="229" t="s">
        <v>15</v>
      </c>
      <c r="K51" s="232" t="s">
        <v>233</v>
      </c>
      <c r="L51" s="32"/>
      <c r="M51" s="240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233"/>
      <c r="C52" s="234" t="s">
        <v>104</v>
      </c>
      <c r="D52" s="5"/>
      <c r="E52" s="6"/>
      <c r="F52" s="235">
        <v>1.0</v>
      </c>
      <c r="G52" s="236">
        <f>IF('Pension Cal'!I13&lt;'Pension Cal'!I12,0,'Pension Cal'!M52)</f>
        <v>0</v>
      </c>
      <c r="H52" s="32"/>
      <c r="I52" s="237" t="s">
        <v>234</v>
      </c>
      <c r="J52" s="238" t="s">
        <v>235</v>
      </c>
      <c r="K52" s="239">
        <f>IF(G52=0,0,G53/G52)</f>
        <v>0</v>
      </c>
      <c r="L52" s="32"/>
      <c r="M52" s="73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233"/>
      <c r="C53" s="234" t="s">
        <v>105</v>
      </c>
      <c r="D53" s="5"/>
      <c r="E53" s="6"/>
      <c r="F53" s="235">
        <v>2.0</v>
      </c>
      <c r="G53" s="236">
        <f>IF('Pension Cal'!I13&lt;'Pension Cal'!I12,0,'Pension Cal'!R52)</f>
        <v>0</v>
      </c>
      <c r="H53" s="32"/>
      <c r="I53" s="237" t="s">
        <v>236</v>
      </c>
      <c r="J53" s="238" t="s">
        <v>237</v>
      </c>
      <c r="K53" s="239">
        <f>IF(G52=0,0,('Amount Cal'!T11-'Amount Cal'!I11)/30)</f>
        <v>0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233"/>
      <c r="C54" s="234" t="s">
        <v>238</v>
      </c>
      <c r="D54" s="5"/>
      <c r="E54" s="6"/>
      <c r="F54" s="241" t="s">
        <v>239</v>
      </c>
      <c r="G54" s="236">
        <f>G53-G52</f>
        <v>0</v>
      </c>
      <c r="H54" s="32"/>
      <c r="I54" s="242"/>
      <c r="J54" s="16"/>
      <c r="K54" s="243"/>
      <c r="L54" s="247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233"/>
      <c r="C55" s="285"/>
      <c r="D55" s="5"/>
      <c r="E55" s="5"/>
      <c r="F55" s="5"/>
      <c r="G55" s="215"/>
      <c r="H55" s="32"/>
      <c r="I55" s="245"/>
      <c r="J55" s="27"/>
      <c r="K55" s="246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233"/>
      <c r="C56" s="248" t="s">
        <v>240</v>
      </c>
      <c r="D56" s="249">
        <f>IF(G52=0,0,'Pension Cal'!F9)</f>
        <v>0</v>
      </c>
      <c r="E56" s="250">
        <f>IF(G52=0,0,'Amount Cal'!M11)</f>
        <v>0</v>
      </c>
      <c r="F56" s="235">
        <v>3.0</v>
      </c>
      <c r="G56" s="251">
        <f>IF(G52=0,0,MAX('Amount Cal'!T20:T198))</f>
        <v>0</v>
      </c>
      <c r="H56" s="32"/>
      <c r="I56" s="252" t="s">
        <v>273</v>
      </c>
      <c r="J56" s="238" t="s">
        <v>242</v>
      </c>
      <c r="K56" s="253">
        <f>IF(G52=0,0,G56/G61)</f>
        <v>0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233"/>
      <c r="C57" s="254" t="s">
        <v>243</v>
      </c>
      <c r="D57" s="249">
        <f>IF(G52=0,0,'Pension Cal'!F11)</f>
        <v>0</v>
      </c>
      <c r="E57" s="250">
        <f>IF(G52=0,0,'Amount Cal'!T11)</f>
        <v>0</v>
      </c>
      <c r="F57" s="235">
        <v>4.0</v>
      </c>
      <c r="G57" s="251">
        <f>IF(AND(G52=0,Input!I10&gt;'Pension Cal'!F11),0,SUM('Amount Cal'!S132,'Amount Cal'!S139,'Amount Cal'!S146,'Amount Cal'!S153,'Amount Cal'!S160,'Amount Cal'!S174,'Amount Cal'!S181,'Amount Cal'!S188,'Amount Cal'!S195))</f>
        <v>0</v>
      </c>
      <c r="H57" s="32"/>
      <c r="I57" s="252" t="s">
        <v>274</v>
      </c>
      <c r="J57" s="238" t="s">
        <v>245</v>
      </c>
      <c r="K57" s="253">
        <f>IF(G52=0,0,G57/G61)</f>
        <v>0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233"/>
      <c r="C58" s="248" t="s">
        <v>246</v>
      </c>
      <c r="D58" s="249">
        <f>IF(G52=0,0,'Pension Cal'!F9)</f>
        <v>0</v>
      </c>
      <c r="E58" s="250">
        <f>IF(G52=0,0,'Amount Cal'!M11)</f>
        <v>0</v>
      </c>
      <c r="F58" s="235">
        <v>5.0</v>
      </c>
      <c r="G58" s="251">
        <f>IF(G52=0,0,VLOOKUP((MAX('Amount Cal'!T20:'Amount Cal'!T198)),('Amount Cal'!T20:'Amount Cal'!U198),2,FALSE))</f>
        <v>0</v>
      </c>
      <c r="H58" s="32"/>
      <c r="I58" s="252" t="s">
        <v>275</v>
      </c>
      <c r="J58" s="238" t="s">
        <v>248</v>
      </c>
      <c r="K58" s="253">
        <f>IF(G52=0,0,G58/G61)</f>
        <v>0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233"/>
      <c r="C59" s="248" t="s">
        <v>249</v>
      </c>
      <c r="D59" s="249">
        <f>IF(G52=0,0,'Amount Cal'!O11)</f>
        <v>0</v>
      </c>
      <c r="E59" s="250">
        <f>IF(G52=0,0,'Amount Cal'!T11)</f>
        <v>0</v>
      </c>
      <c r="F59" s="241" t="s">
        <v>250</v>
      </c>
      <c r="G59" s="251">
        <f>G60-G58</f>
        <v>0</v>
      </c>
      <c r="H59" s="32"/>
      <c r="I59" s="252" t="s">
        <v>273</v>
      </c>
      <c r="J59" s="238" t="s">
        <v>252</v>
      </c>
      <c r="K59" s="253">
        <f>IF(G52=0,0,G59/G61)</f>
        <v>0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233"/>
      <c r="C60" s="248" t="s">
        <v>253</v>
      </c>
      <c r="D60" s="249">
        <f>IF(G52=0,0,'Pension Cal'!F9)</f>
        <v>0</v>
      </c>
      <c r="E60" s="250">
        <f>IF(G52=0,0,'Amount Cal'!T11)</f>
        <v>0</v>
      </c>
      <c r="F60" s="235">
        <v>6.0</v>
      </c>
      <c r="G60" s="251">
        <f>IF(G52=0,0,MAX('Amount Cal'!U20:'Amount Cal'!U198))</f>
        <v>0</v>
      </c>
      <c r="H60" s="32"/>
      <c r="I60" s="252" t="s">
        <v>276</v>
      </c>
      <c r="J60" s="238" t="s">
        <v>255</v>
      </c>
      <c r="K60" s="253">
        <f>IF(G52=0,0,G60/G61)</f>
        <v>0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233"/>
      <c r="C61" s="234" t="s">
        <v>277</v>
      </c>
      <c r="D61" s="5"/>
      <c r="E61" s="6"/>
      <c r="F61" s="256" t="s">
        <v>257</v>
      </c>
      <c r="G61" s="257">
        <f t="shared" ref="G61:G62" si="3">SUM(G56,G60)</f>
        <v>0</v>
      </c>
      <c r="H61" s="32"/>
      <c r="I61" s="286"/>
      <c r="J61" s="16"/>
      <c r="K61" s="243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233"/>
      <c r="C62" s="255" t="s">
        <v>258</v>
      </c>
      <c r="D62" s="5"/>
      <c r="E62" s="6"/>
      <c r="F62" s="256" t="s">
        <v>259</v>
      </c>
      <c r="G62" s="257">
        <f t="shared" si="3"/>
        <v>0</v>
      </c>
      <c r="H62" s="32"/>
      <c r="I62" s="233"/>
      <c r="K62" s="259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233"/>
      <c r="C63" s="285"/>
      <c r="D63" s="5"/>
      <c r="E63" s="5"/>
      <c r="F63" s="5"/>
      <c r="G63" s="215"/>
      <c r="H63" s="32"/>
      <c r="I63" s="245"/>
      <c r="J63" s="27"/>
      <c r="K63" s="246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233"/>
      <c r="C64" s="260" t="s">
        <v>260</v>
      </c>
      <c r="D64" s="16"/>
      <c r="E64" s="17"/>
      <c r="F64" s="261">
        <v>7.0</v>
      </c>
      <c r="G64" s="262">
        <f>IF(G52=0,0,G54*K53)</f>
        <v>0</v>
      </c>
      <c r="H64" s="32"/>
      <c r="I64" s="237" t="s">
        <v>261</v>
      </c>
      <c r="J64" s="238" t="s">
        <v>262</v>
      </c>
      <c r="K64" s="239">
        <f>IF(G61-G64&lt;=0,0,INT(G61-G64)/G54)</f>
        <v>0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233"/>
      <c r="C65" s="26"/>
      <c r="D65" s="27"/>
      <c r="E65" s="28"/>
      <c r="F65" s="29"/>
      <c r="G65" s="263"/>
      <c r="H65" s="32"/>
      <c r="I65" s="237" t="s">
        <v>263</v>
      </c>
      <c r="J65" s="238" t="s">
        <v>264</v>
      </c>
      <c r="K65" s="293">
        <f>IF(G52=0,0,G64/G62)</f>
        <v>0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233"/>
      <c r="C66" s="285"/>
      <c r="D66" s="5"/>
      <c r="E66" s="5"/>
      <c r="F66" s="5"/>
      <c r="G66" s="215"/>
      <c r="H66" s="32"/>
      <c r="I66" s="287"/>
      <c r="J66" s="288"/>
      <c r="K66" s="289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233"/>
      <c r="C67" s="267" t="s">
        <v>265</v>
      </c>
      <c r="D67" s="16"/>
      <c r="E67" s="17"/>
      <c r="F67" s="268">
        <v>8.0</v>
      </c>
      <c r="G67" s="262">
        <f>IF(G52=0,0,IF(Input!I10&lt;'Pension Cal'!F11,'Pension Cal'!V37,'Pension Cal'!W37))</f>
        <v>0</v>
      </c>
      <c r="H67" s="32"/>
      <c r="I67" s="237" t="s">
        <v>266</v>
      </c>
      <c r="J67" s="238" t="s">
        <v>267</v>
      </c>
      <c r="K67" s="269">
        <f>IF(G52=0,0,G53/G67)</f>
        <v>0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233"/>
      <c r="C68" s="20"/>
      <c r="E68" s="21"/>
      <c r="F68" s="205"/>
      <c r="G68" s="270"/>
      <c r="H68" s="32"/>
      <c r="I68" s="237" t="s">
        <v>268</v>
      </c>
      <c r="J68" s="238" t="s">
        <v>269</v>
      </c>
      <c r="K68" s="271">
        <f>IF(G52=0,0,G61/G67)</f>
        <v>0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272"/>
      <c r="C69" s="273"/>
      <c r="D69" s="274"/>
      <c r="E69" s="275"/>
      <c r="F69" s="276"/>
      <c r="G69" s="263"/>
      <c r="H69" s="32"/>
      <c r="I69" s="278" t="s">
        <v>270</v>
      </c>
      <c r="J69" s="279" t="s">
        <v>271</v>
      </c>
      <c r="K69" s="280">
        <f>IF(G52=0,0,G64/G67)</f>
        <v>0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294"/>
      <c r="C70" s="295"/>
      <c r="D70" s="295"/>
      <c r="E70" s="295"/>
      <c r="F70" s="89"/>
      <c r="G70" s="296"/>
      <c r="H70" s="32"/>
      <c r="I70" s="73"/>
      <c r="J70" s="297"/>
      <c r="K70" s="29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299" t="s">
        <v>279</v>
      </c>
      <c r="C71" s="50"/>
      <c r="D71" s="50"/>
      <c r="E71" s="50"/>
      <c r="F71" s="50"/>
      <c r="G71" s="50"/>
      <c r="H71" s="50"/>
      <c r="I71" s="50"/>
      <c r="J71" s="50"/>
      <c r="K71" s="13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00" t="s">
        <v>280</v>
      </c>
      <c r="C72" s="53"/>
      <c r="D72" s="53"/>
      <c r="E72" s="53"/>
      <c r="F72" s="53"/>
      <c r="G72" s="53"/>
      <c r="H72" s="53"/>
      <c r="I72" s="53"/>
      <c r="J72" s="53"/>
      <c r="K72" s="209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206"/>
      <c r="D73" s="206"/>
      <c r="E73" s="32"/>
      <c r="F73" s="206"/>
      <c r="G73" s="32"/>
      <c r="H73" s="32"/>
      <c r="I73" s="32"/>
      <c r="J73" s="207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206"/>
      <c r="D74" s="206"/>
      <c r="E74" s="32"/>
      <c r="F74" s="206"/>
      <c r="G74" s="32"/>
      <c r="H74" s="32"/>
      <c r="I74" s="32"/>
      <c r="J74" s="207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206"/>
      <c r="D75" s="206"/>
      <c r="E75" s="32"/>
      <c r="F75" s="206"/>
      <c r="G75" s="32"/>
      <c r="H75" s="32"/>
      <c r="I75" s="32"/>
      <c r="J75" s="207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206"/>
      <c r="D76" s="206"/>
      <c r="E76" s="32"/>
      <c r="F76" s="206"/>
      <c r="G76" s="32"/>
      <c r="H76" s="32"/>
      <c r="I76" s="32"/>
      <c r="J76" s="207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206"/>
      <c r="D77" s="206"/>
      <c r="E77" s="32"/>
      <c r="F77" s="206"/>
      <c r="G77" s="32"/>
      <c r="H77" s="32"/>
      <c r="I77" s="32"/>
      <c r="J77" s="207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206"/>
      <c r="D78" s="206"/>
      <c r="E78" s="32"/>
      <c r="F78" s="206"/>
      <c r="G78" s="32"/>
      <c r="H78" s="32"/>
      <c r="I78" s="32"/>
      <c r="J78" s="207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206"/>
      <c r="D79" s="206"/>
      <c r="E79" s="32"/>
      <c r="F79" s="206"/>
      <c r="G79" s="32"/>
      <c r="H79" s="32"/>
      <c r="I79" s="32"/>
      <c r="J79" s="207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206"/>
      <c r="D80" s="206"/>
      <c r="E80" s="32"/>
      <c r="F80" s="206"/>
      <c r="G80" s="32"/>
      <c r="H80" s="32"/>
      <c r="I80" s="32"/>
      <c r="J80" s="207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206"/>
      <c r="D81" s="206"/>
      <c r="E81" s="32"/>
      <c r="F81" s="206"/>
      <c r="G81" s="32"/>
      <c r="H81" s="32"/>
      <c r="I81" s="32"/>
      <c r="J81" s="207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206"/>
      <c r="D82" s="206"/>
      <c r="E82" s="32"/>
      <c r="F82" s="206"/>
      <c r="G82" s="32"/>
      <c r="H82" s="32"/>
      <c r="I82" s="32"/>
      <c r="J82" s="207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206"/>
      <c r="D83" s="206"/>
      <c r="E83" s="32"/>
      <c r="F83" s="206"/>
      <c r="G83" s="32"/>
      <c r="H83" s="32"/>
      <c r="I83" s="32"/>
      <c r="J83" s="207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206"/>
      <c r="D84" s="206"/>
      <c r="E84" s="32"/>
      <c r="F84" s="206"/>
      <c r="G84" s="32"/>
      <c r="H84" s="32"/>
      <c r="I84" s="32"/>
      <c r="J84" s="207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206"/>
      <c r="D85" s="206"/>
      <c r="E85" s="32"/>
      <c r="F85" s="206"/>
      <c r="G85" s="32"/>
      <c r="H85" s="32"/>
      <c r="I85" s="32"/>
      <c r="J85" s="207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206"/>
      <c r="D86" s="206"/>
      <c r="E86" s="32"/>
      <c r="F86" s="206"/>
      <c r="G86" s="32"/>
      <c r="H86" s="32"/>
      <c r="I86" s="32"/>
      <c r="J86" s="207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206"/>
      <c r="D87" s="206"/>
      <c r="E87" s="32"/>
      <c r="F87" s="206"/>
      <c r="G87" s="32"/>
      <c r="H87" s="32"/>
      <c r="I87" s="32"/>
      <c r="J87" s="207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206"/>
      <c r="D88" s="206"/>
      <c r="E88" s="32"/>
      <c r="F88" s="206"/>
      <c r="G88" s="32"/>
      <c r="H88" s="32"/>
      <c r="I88" s="32"/>
      <c r="J88" s="207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206"/>
      <c r="D89" s="206"/>
      <c r="E89" s="32"/>
      <c r="F89" s="206"/>
      <c r="G89" s="32"/>
      <c r="H89" s="32"/>
      <c r="I89" s="32"/>
      <c r="J89" s="207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206"/>
      <c r="D90" s="206"/>
      <c r="E90" s="32"/>
      <c r="F90" s="206"/>
      <c r="G90" s="32"/>
      <c r="H90" s="32"/>
      <c r="I90" s="32"/>
      <c r="J90" s="207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206"/>
      <c r="D91" s="206"/>
      <c r="E91" s="32"/>
      <c r="F91" s="206"/>
      <c r="G91" s="32"/>
      <c r="H91" s="32"/>
      <c r="I91" s="32"/>
      <c r="J91" s="207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206"/>
      <c r="D92" s="206"/>
      <c r="E92" s="32"/>
      <c r="F92" s="206"/>
      <c r="G92" s="32"/>
      <c r="H92" s="32"/>
      <c r="I92" s="32"/>
      <c r="J92" s="207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206"/>
      <c r="D93" s="206"/>
      <c r="E93" s="32"/>
      <c r="F93" s="206"/>
      <c r="G93" s="32"/>
      <c r="H93" s="32"/>
      <c r="I93" s="32"/>
      <c r="J93" s="207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206"/>
      <c r="D94" s="206"/>
      <c r="E94" s="32"/>
      <c r="F94" s="206"/>
      <c r="G94" s="32"/>
      <c r="H94" s="32"/>
      <c r="I94" s="32"/>
      <c r="J94" s="207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206"/>
      <c r="D95" s="206"/>
      <c r="E95" s="32"/>
      <c r="F95" s="206"/>
      <c r="G95" s="32"/>
      <c r="H95" s="32"/>
      <c r="I95" s="32"/>
      <c r="J95" s="207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206"/>
      <c r="D96" s="206"/>
      <c r="E96" s="32"/>
      <c r="F96" s="206"/>
      <c r="G96" s="32"/>
      <c r="H96" s="32"/>
      <c r="I96" s="32"/>
      <c r="J96" s="207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206"/>
      <c r="D97" s="206"/>
      <c r="E97" s="32"/>
      <c r="F97" s="206"/>
      <c r="G97" s="32"/>
      <c r="H97" s="32"/>
      <c r="I97" s="32"/>
      <c r="J97" s="207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206"/>
      <c r="D98" s="206"/>
      <c r="E98" s="32"/>
      <c r="F98" s="206"/>
      <c r="G98" s="32"/>
      <c r="H98" s="32"/>
      <c r="I98" s="32"/>
      <c r="J98" s="207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206"/>
      <c r="D99" s="206"/>
      <c r="E99" s="32"/>
      <c r="F99" s="206"/>
      <c r="G99" s="32"/>
      <c r="H99" s="32"/>
      <c r="I99" s="32"/>
      <c r="J99" s="207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206"/>
      <c r="D100" s="206"/>
      <c r="E100" s="32"/>
      <c r="F100" s="206"/>
      <c r="G100" s="32"/>
      <c r="H100" s="32"/>
      <c r="I100" s="32"/>
      <c r="J100" s="207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206"/>
      <c r="D101" s="206"/>
      <c r="E101" s="32"/>
      <c r="F101" s="206"/>
      <c r="G101" s="32"/>
      <c r="H101" s="32"/>
      <c r="I101" s="32"/>
      <c r="J101" s="207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206"/>
      <c r="D102" s="206"/>
      <c r="E102" s="32"/>
      <c r="F102" s="206"/>
      <c r="G102" s="32"/>
      <c r="H102" s="32"/>
      <c r="I102" s="32"/>
      <c r="J102" s="207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206"/>
      <c r="D103" s="206"/>
      <c r="E103" s="32"/>
      <c r="F103" s="206"/>
      <c r="G103" s="32"/>
      <c r="H103" s="32"/>
      <c r="I103" s="32"/>
      <c r="J103" s="207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206"/>
      <c r="D104" s="206"/>
      <c r="E104" s="32"/>
      <c r="F104" s="206"/>
      <c r="G104" s="32"/>
      <c r="H104" s="32"/>
      <c r="I104" s="32"/>
      <c r="J104" s="207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206"/>
      <c r="D105" s="206"/>
      <c r="E105" s="32"/>
      <c r="F105" s="206"/>
      <c r="G105" s="32"/>
      <c r="H105" s="32"/>
      <c r="I105" s="32"/>
      <c r="J105" s="207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206"/>
      <c r="D106" s="206"/>
      <c r="E106" s="32"/>
      <c r="F106" s="206"/>
      <c r="G106" s="32"/>
      <c r="H106" s="32"/>
      <c r="I106" s="32"/>
      <c r="J106" s="207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206"/>
      <c r="D107" s="206"/>
      <c r="E107" s="32"/>
      <c r="F107" s="206"/>
      <c r="G107" s="32"/>
      <c r="H107" s="32"/>
      <c r="I107" s="32"/>
      <c r="J107" s="207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206"/>
      <c r="D108" s="206"/>
      <c r="E108" s="32"/>
      <c r="F108" s="206"/>
      <c r="G108" s="32"/>
      <c r="H108" s="32"/>
      <c r="I108" s="32"/>
      <c r="J108" s="207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206"/>
      <c r="D109" s="206"/>
      <c r="E109" s="32"/>
      <c r="F109" s="206"/>
      <c r="G109" s="32"/>
      <c r="H109" s="32"/>
      <c r="I109" s="32"/>
      <c r="J109" s="207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206"/>
      <c r="D110" s="206"/>
      <c r="E110" s="32"/>
      <c r="F110" s="206"/>
      <c r="G110" s="32"/>
      <c r="H110" s="32"/>
      <c r="I110" s="32"/>
      <c r="J110" s="207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206"/>
      <c r="D111" s="206"/>
      <c r="E111" s="32"/>
      <c r="F111" s="206"/>
      <c r="G111" s="32"/>
      <c r="H111" s="32"/>
      <c r="I111" s="32"/>
      <c r="J111" s="207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206"/>
      <c r="D112" s="206"/>
      <c r="E112" s="32"/>
      <c r="F112" s="206"/>
      <c r="G112" s="32"/>
      <c r="H112" s="32"/>
      <c r="I112" s="32"/>
      <c r="J112" s="207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206"/>
      <c r="D113" s="206"/>
      <c r="E113" s="32"/>
      <c r="F113" s="206"/>
      <c r="G113" s="32"/>
      <c r="H113" s="32"/>
      <c r="I113" s="32"/>
      <c r="J113" s="207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206"/>
      <c r="D114" s="206"/>
      <c r="E114" s="32"/>
      <c r="F114" s="206"/>
      <c r="G114" s="32"/>
      <c r="H114" s="32"/>
      <c r="I114" s="32"/>
      <c r="J114" s="207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206"/>
      <c r="D115" s="206"/>
      <c r="E115" s="32"/>
      <c r="F115" s="206"/>
      <c r="G115" s="32"/>
      <c r="H115" s="32"/>
      <c r="I115" s="32"/>
      <c r="J115" s="207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206"/>
      <c r="D116" s="206"/>
      <c r="E116" s="32"/>
      <c r="F116" s="206"/>
      <c r="G116" s="32"/>
      <c r="H116" s="32"/>
      <c r="I116" s="32"/>
      <c r="J116" s="207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206"/>
      <c r="D117" s="206"/>
      <c r="E117" s="32"/>
      <c r="F117" s="206"/>
      <c r="G117" s="32"/>
      <c r="H117" s="32"/>
      <c r="I117" s="32"/>
      <c r="J117" s="207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206"/>
      <c r="D118" s="206"/>
      <c r="E118" s="32"/>
      <c r="F118" s="206"/>
      <c r="G118" s="32"/>
      <c r="H118" s="32"/>
      <c r="I118" s="32"/>
      <c r="J118" s="207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206"/>
      <c r="D119" s="206"/>
      <c r="E119" s="32"/>
      <c r="F119" s="206"/>
      <c r="G119" s="32"/>
      <c r="H119" s="32"/>
      <c r="I119" s="32"/>
      <c r="J119" s="207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206"/>
      <c r="D120" s="206"/>
      <c r="E120" s="32"/>
      <c r="F120" s="206"/>
      <c r="G120" s="32"/>
      <c r="H120" s="32"/>
      <c r="I120" s="32"/>
      <c r="J120" s="207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206"/>
      <c r="D121" s="206"/>
      <c r="E121" s="32"/>
      <c r="F121" s="206"/>
      <c r="G121" s="32"/>
      <c r="H121" s="32"/>
      <c r="I121" s="32"/>
      <c r="J121" s="207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206"/>
      <c r="D122" s="206"/>
      <c r="E122" s="32"/>
      <c r="F122" s="206"/>
      <c r="G122" s="32"/>
      <c r="H122" s="32"/>
      <c r="I122" s="32"/>
      <c r="J122" s="207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206"/>
      <c r="D123" s="206"/>
      <c r="E123" s="32"/>
      <c r="F123" s="206"/>
      <c r="G123" s="32"/>
      <c r="H123" s="32"/>
      <c r="I123" s="32"/>
      <c r="J123" s="207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206"/>
      <c r="D124" s="206"/>
      <c r="E124" s="32"/>
      <c r="F124" s="206"/>
      <c r="G124" s="32"/>
      <c r="H124" s="32"/>
      <c r="I124" s="32"/>
      <c r="J124" s="207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206"/>
      <c r="D125" s="206"/>
      <c r="E125" s="32"/>
      <c r="F125" s="206"/>
      <c r="G125" s="32"/>
      <c r="H125" s="32"/>
      <c r="I125" s="32"/>
      <c r="J125" s="207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206"/>
      <c r="D126" s="206"/>
      <c r="E126" s="32"/>
      <c r="F126" s="206"/>
      <c r="G126" s="32"/>
      <c r="H126" s="32"/>
      <c r="I126" s="32"/>
      <c r="J126" s="207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206"/>
      <c r="D127" s="206"/>
      <c r="E127" s="32"/>
      <c r="F127" s="206"/>
      <c r="G127" s="32"/>
      <c r="H127" s="32"/>
      <c r="I127" s="32"/>
      <c r="J127" s="207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206"/>
      <c r="D128" s="206"/>
      <c r="E128" s="32"/>
      <c r="F128" s="206"/>
      <c r="G128" s="32"/>
      <c r="H128" s="32"/>
      <c r="I128" s="32"/>
      <c r="J128" s="207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206"/>
      <c r="D129" s="206"/>
      <c r="E129" s="32"/>
      <c r="F129" s="206"/>
      <c r="G129" s="32"/>
      <c r="H129" s="32"/>
      <c r="I129" s="32"/>
      <c r="J129" s="207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206"/>
      <c r="D130" s="206"/>
      <c r="E130" s="32"/>
      <c r="F130" s="206"/>
      <c r="G130" s="32"/>
      <c r="H130" s="32"/>
      <c r="I130" s="32"/>
      <c r="J130" s="207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206"/>
      <c r="D131" s="206"/>
      <c r="E131" s="32"/>
      <c r="F131" s="206"/>
      <c r="G131" s="32"/>
      <c r="H131" s="32"/>
      <c r="I131" s="32"/>
      <c r="J131" s="207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206"/>
      <c r="D132" s="206"/>
      <c r="E132" s="32"/>
      <c r="F132" s="206"/>
      <c r="G132" s="32"/>
      <c r="H132" s="32"/>
      <c r="I132" s="32"/>
      <c r="J132" s="207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206"/>
      <c r="D133" s="206"/>
      <c r="E133" s="32"/>
      <c r="F133" s="206"/>
      <c r="G133" s="32"/>
      <c r="H133" s="32"/>
      <c r="I133" s="32"/>
      <c r="J133" s="207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206"/>
      <c r="D134" s="206"/>
      <c r="E134" s="32"/>
      <c r="F134" s="206"/>
      <c r="G134" s="32"/>
      <c r="H134" s="32"/>
      <c r="I134" s="32"/>
      <c r="J134" s="207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206"/>
      <c r="D135" s="206"/>
      <c r="E135" s="32"/>
      <c r="F135" s="206"/>
      <c r="G135" s="32"/>
      <c r="H135" s="32"/>
      <c r="I135" s="32"/>
      <c r="J135" s="207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206"/>
      <c r="D136" s="206"/>
      <c r="E136" s="32"/>
      <c r="F136" s="206"/>
      <c r="G136" s="32"/>
      <c r="H136" s="32"/>
      <c r="I136" s="32"/>
      <c r="J136" s="207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206"/>
      <c r="D137" s="206"/>
      <c r="E137" s="32"/>
      <c r="F137" s="206"/>
      <c r="G137" s="32"/>
      <c r="H137" s="32"/>
      <c r="I137" s="32"/>
      <c r="J137" s="207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206"/>
      <c r="D138" s="206"/>
      <c r="E138" s="32"/>
      <c r="F138" s="206"/>
      <c r="G138" s="32"/>
      <c r="H138" s="32"/>
      <c r="I138" s="32"/>
      <c r="J138" s="207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206"/>
      <c r="D139" s="206"/>
      <c r="E139" s="32"/>
      <c r="F139" s="206"/>
      <c r="G139" s="32"/>
      <c r="H139" s="32"/>
      <c r="I139" s="32"/>
      <c r="J139" s="207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206"/>
      <c r="D140" s="206"/>
      <c r="E140" s="32"/>
      <c r="F140" s="206"/>
      <c r="G140" s="32"/>
      <c r="H140" s="32"/>
      <c r="I140" s="32"/>
      <c r="J140" s="207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206"/>
      <c r="D141" s="206"/>
      <c r="E141" s="32"/>
      <c r="F141" s="206"/>
      <c r="G141" s="32"/>
      <c r="H141" s="32"/>
      <c r="I141" s="32"/>
      <c r="J141" s="207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206"/>
      <c r="D142" s="206"/>
      <c r="E142" s="32"/>
      <c r="F142" s="206"/>
      <c r="G142" s="32"/>
      <c r="H142" s="32"/>
      <c r="I142" s="32"/>
      <c r="J142" s="207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206"/>
      <c r="D143" s="206"/>
      <c r="E143" s="32"/>
      <c r="F143" s="206"/>
      <c r="G143" s="32"/>
      <c r="H143" s="32"/>
      <c r="I143" s="32"/>
      <c r="J143" s="207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206"/>
      <c r="D144" s="206"/>
      <c r="E144" s="32"/>
      <c r="F144" s="206"/>
      <c r="G144" s="32"/>
      <c r="H144" s="32"/>
      <c r="I144" s="32"/>
      <c r="J144" s="207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206"/>
      <c r="D145" s="206"/>
      <c r="E145" s="32"/>
      <c r="F145" s="206"/>
      <c r="G145" s="32"/>
      <c r="H145" s="32"/>
      <c r="I145" s="32"/>
      <c r="J145" s="207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206"/>
      <c r="D146" s="206"/>
      <c r="E146" s="32"/>
      <c r="F146" s="206"/>
      <c r="G146" s="32"/>
      <c r="H146" s="32"/>
      <c r="I146" s="32"/>
      <c r="J146" s="207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206"/>
      <c r="D147" s="206"/>
      <c r="E147" s="32"/>
      <c r="F147" s="206"/>
      <c r="G147" s="32"/>
      <c r="H147" s="32"/>
      <c r="I147" s="32"/>
      <c r="J147" s="207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206"/>
      <c r="D148" s="206"/>
      <c r="E148" s="32"/>
      <c r="F148" s="206"/>
      <c r="G148" s="32"/>
      <c r="H148" s="32"/>
      <c r="I148" s="32"/>
      <c r="J148" s="207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206"/>
      <c r="D149" s="206"/>
      <c r="E149" s="32"/>
      <c r="F149" s="206"/>
      <c r="G149" s="32"/>
      <c r="H149" s="32"/>
      <c r="I149" s="32"/>
      <c r="J149" s="207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206"/>
      <c r="D150" s="206"/>
      <c r="E150" s="32"/>
      <c r="F150" s="206"/>
      <c r="G150" s="32"/>
      <c r="H150" s="32"/>
      <c r="I150" s="32"/>
      <c r="J150" s="207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206"/>
      <c r="D151" s="206"/>
      <c r="E151" s="32"/>
      <c r="F151" s="206"/>
      <c r="G151" s="32"/>
      <c r="H151" s="32"/>
      <c r="I151" s="32"/>
      <c r="J151" s="207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206"/>
      <c r="D152" s="206"/>
      <c r="E152" s="32"/>
      <c r="F152" s="206"/>
      <c r="G152" s="32"/>
      <c r="H152" s="32"/>
      <c r="I152" s="32"/>
      <c r="J152" s="207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206"/>
      <c r="D153" s="206"/>
      <c r="E153" s="32"/>
      <c r="F153" s="206"/>
      <c r="G153" s="32"/>
      <c r="H153" s="32"/>
      <c r="I153" s="32"/>
      <c r="J153" s="207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206"/>
      <c r="D154" s="206"/>
      <c r="E154" s="32"/>
      <c r="F154" s="206"/>
      <c r="G154" s="32"/>
      <c r="H154" s="32"/>
      <c r="I154" s="32"/>
      <c r="J154" s="207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206"/>
      <c r="D155" s="206"/>
      <c r="E155" s="32"/>
      <c r="F155" s="206"/>
      <c r="G155" s="32"/>
      <c r="H155" s="32"/>
      <c r="I155" s="32"/>
      <c r="J155" s="207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206"/>
      <c r="D156" s="206"/>
      <c r="E156" s="32"/>
      <c r="F156" s="206"/>
      <c r="G156" s="32"/>
      <c r="H156" s="32"/>
      <c r="I156" s="32"/>
      <c r="J156" s="207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206"/>
      <c r="D157" s="206"/>
      <c r="E157" s="32"/>
      <c r="F157" s="206"/>
      <c r="G157" s="32"/>
      <c r="H157" s="32"/>
      <c r="I157" s="32"/>
      <c r="J157" s="207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206"/>
      <c r="D158" s="206"/>
      <c r="E158" s="32"/>
      <c r="F158" s="206"/>
      <c r="G158" s="32"/>
      <c r="H158" s="32"/>
      <c r="I158" s="32"/>
      <c r="J158" s="207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206"/>
      <c r="D159" s="206"/>
      <c r="E159" s="32"/>
      <c r="F159" s="206"/>
      <c r="G159" s="32"/>
      <c r="H159" s="32"/>
      <c r="I159" s="32"/>
      <c r="J159" s="207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206"/>
      <c r="D160" s="206"/>
      <c r="E160" s="32"/>
      <c r="F160" s="206"/>
      <c r="G160" s="32"/>
      <c r="H160" s="32"/>
      <c r="I160" s="32"/>
      <c r="J160" s="207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206"/>
      <c r="D161" s="206"/>
      <c r="E161" s="32"/>
      <c r="F161" s="206"/>
      <c r="G161" s="32"/>
      <c r="H161" s="32"/>
      <c r="I161" s="32"/>
      <c r="J161" s="207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206"/>
      <c r="D162" s="206"/>
      <c r="E162" s="32"/>
      <c r="F162" s="206"/>
      <c r="G162" s="32"/>
      <c r="H162" s="32"/>
      <c r="I162" s="32"/>
      <c r="J162" s="207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206"/>
      <c r="D163" s="206"/>
      <c r="E163" s="32"/>
      <c r="F163" s="206"/>
      <c r="G163" s="32"/>
      <c r="H163" s="32"/>
      <c r="I163" s="32"/>
      <c r="J163" s="207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206"/>
      <c r="D164" s="206"/>
      <c r="E164" s="32"/>
      <c r="F164" s="206"/>
      <c r="G164" s="32"/>
      <c r="H164" s="32"/>
      <c r="I164" s="32"/>
      <c r="J164" s="207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206"/>
      <c r="D165" s="206"/>
      <c r="E165" s="32"/>
      <c r="F165" s="206"/>
      <c r="G165" s="32"/>
      <c r="H165" s="32"/>
      <c r="I165" s="32"/>
      <c r="J165" s="207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206"/>
      <c r="D166" s="206"/>
      <c r="E166" s="32"/>
      <c r="F166" s="206"/>
      <c r="G166" s="32"/>
      <c r="H166" s="32"/>
      <c r="I166" s="32"/>
      <c r="J166" s="207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206"/>
      <c r="D167" s="206"/>
      <c r="E167" s="32"/>
      <c r="F167" s="206"/>
      <c r="G167" s="32"/>
      <c r="H167" s="32"/>
      <c r="I167" s="32"/>
      <c r="J167" s="207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206"/>
      <c r="D168" s="206"/>
      <c r="E168" s="32"/>
      <c r="F168" s="206"/>
      <c r="G168" s="32"/>
      <c r="H168" s="32"/>
      <c r="I168" s="32"/>
      <c r="J168" s="207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206"/>
      <c r="D169" s="206"/>
      <c r="E169" s="32"/>
      <c r="F169" s="206"/>
      <c r="G169" s="32"/>
      <c r="H169" s="32"/>
      <c r="I169" s="32"/>
      <c r="J169" s="207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206"/>
      <c r="D170" s="206"/>
      <c r="E170" s="32"/>
      <c r="F170" s="206"/>
      <c r="G170" s="32"/>
      <c r="H170" s="32"/>
      <c r="I170" s="32"/>
      <c r="J170" s="207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206"/>
      <c r="D171" s="206"/>
      <c r="E171" s="32"/>
      <c r="F171" s="206"/>
      <c r="G171" s="32"/>
      <c r="H171" s="32"/>
      <c r="I171" s="32"/>
      <c r="J171" s="207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206"/>
      <c r="D172" s="206"/>
      <c r="E172" s="32"/>
      <c r="F172" s="206"/>
      <c r="G172" s="32"/>
      <c r="H172" s="32"/>
      <c r="I172" s="32"/>
      <c r="J172" s="207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206"/>
      <c r="D173" s="206"/>
      <c r="E173" s="32"/>
      <c r="F173" s="206"/>
      <c r="G173" s="32"/>
      <c r="H173" s="32"/>
      <c r="I173" s="32"/>
      <c r="J173" s="207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206"/>
      <c r="D174" s="206"/>
      <c r="E174" s="32"/>
      <c r="F174" s="206"/>
      <c r="G174" s="32"/>
      <c r="H174" s="32"/>
      <c r="I174" s="32"/>
      <c r="J174" s="207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206"/>
      <c r="D175" s="206"/>
      <c r="E175" s="32"/>
      <c r="F175" s="206"/>
      <c r="G175" s="32"/>
      <c r="H175" s="32"/>
      <c r="I175" s="32"/>
      <c r="J175" s="207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206"/>
      <c r="D176" s="206"/>
      <c r="E176" s="32"/>
      <c r="F176" s="206"/>
      <c r="G176" s="32"/>
      <c r="H176" s="32"/>
      <c r="I176" s="32"/>
      <c r="J176" s="207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206"/>
      <c r="D177" s="206"/>
      <c r="E177" s="32"/>
      <c r="F177" s="206"/>
      <c r="G177" s="32"/>
      <c r="H177" s="32"/>
      <c r="I177" s="32"/>
      <c r="J177" s="207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206"/>
      <c r="D178" s="206"/>
      <c r="E178" s="32"/>
      <c r="F178" s="206"/>
      <c r="G178" s="32"/>
      <c r="H178" s="32"/>
      <c r="I178" s="32"/>
      <c r="J178" s="207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206"/>
      <c r="D179" s="206"/>
      <c r="E179" s="32"/>
      <c r="F179" s="206"/>
      <c r="G179" s="32"/>
      <c r="H179" s="32"/>
      <c r="I179" s="32"/>
      <c r="J179" s="207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206"/>
      <c r="D180" s="206"/>
      <c r="E180" s="32"/>
      <c r="F180" s="206"/>
      <c r="G180" s="32"/>
      <c r="H180" s="32"/>
      <c r="I180" s="32"/>
      <c r="J180" s="207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206"/>
      <c r="D181" s="206"/>
      <c r="E181" s="32"/>
      <c r="F181" s="206"/>
      <c r="G181" s="32"/>
      <c r="H181" s="32"/>
      <c r="I181" s="32"/>
      <c r="J181" s="207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206"/>
      <c r="D182" s="206"/>
      <c r="E182" s="32"/>
      <c r="F182" s="206"/>
      <c r="G182" s="32"/>
      <c r="H182" s="32"/>
      <c r="I182" s="32"/>
      <c r="J182" s="207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206"/>
      <c r="D183" s="206"/>
      <c r="E183" s="32"/>
      <c r="F183" s="206"/>
      <c r="G183" s="32"/>
      <c r="H183" s="32"/>
      <c r="I183" s="32"/>
      <c r="J183" s="207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206"/>
      <c r="D184" s="206"/>
      <c r="E184" s="32"/>
      <c r="F184" s="206"/>
      <c r="G184" s="32"/>
      <c r="H184" s="32"/>
      <c r="I184" s="32"/>
      <c r="J184" s="207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206"/>
      <c r="D185" s="206"/>
      <c r="E185" s="32"/>
      <c r="F185" s="206"/>
      <c r="G185" s="32"/>
      <c r="H185" s="32"/>
      <c r="I185" s="32"/>
      <c r="J185" s="207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206"/>
      <c r="D186" s="206"/>
      <c r="E186" s="32"/>
      <c r="F186" s="206"/>
      <c r="G186" s="32"/>
      <c r="H186" s="32"/>
      <c r="I186" s="32"/>
      <c r="J186" s="207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206"/>
      <c r="D187" s="206"/>
      <c r="E187" s="32"/>
      <c r="F187" s="206"/>
      <c r="G187" s="32"/>
      <c r="H187" s="32"/>
      <c r="I187" s="32"/>
      <c r="J187" s="207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206"/>
      <c r="D188" s="206"/>
      <c r="E188" s="32"/>
      <c r="F188" s="206"/>
      <c r="G188" s="32"/>
      <c r="H188" s="32"/>
      <c r="I188" s="32"/>
      <c r="J188" s="207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206"/>
      <c r="D189" s="206"/>
      <c r="E189" s="32"/>
      <c r="F189" s="206"/>
      <c r="G189" s="32"/>
      <c r="H189" s="32"/>
      <c r="I189" s="32"/>
      <c r="J189" s="207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206"/>
      <c r="D190" s="206"/>
      <c r="E190" s="32"/>
      <c r="F190" s="206"/>
      <c r="G190" s="32"/>
      <c r="H190" s="32"/>
      <c r="I190" s="32"/>
      <c r="J190" s="207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206"/>
      <c r="D191" s="206"/>
      <c r="E191" s="32"/>
      <c r="F191" s="206"/>
      <c r="G191" s="32"/>
      <c r="H191" s="32"/>
      <c r="I191" s="32"/>
      <c r="J191" s="207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206"/>
      <c r="D192" s="206"/>
      <c r="E192" s="32"/>
      <c r="F192" s="206"/>
      <c r="G192" s="32"/>
      <c r="H192" s="32"/>
      <c r="I192" s="32"/>
      <c r="J192" s="207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206"/>
      <c r="D193" s="206"/>
      <c r="E193" s="32"/>
      <c r="F193" s="206"/>
      <c r="G193" s="32"/>
      <c r="H193" s="32"/>
      <c r="I193" s="32"/>
      <c r="J193" s="207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206"/>
      <c r="D194" s="206"/>
      <c r="E194" s="32"/>
      <c r="F194" s="206"/>
      <c r="G194" s="32"/>
      <c r="H194" s="32"/>
      <c r="I194" s="32"/>
      <c r="J194" s="207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206"/>
      <c r="D195" s="206"/>
      <c r="E195" s="32"/>
      <c r="F195" s="206"/>
      <c r="G195" s="32"/>
      <c r="H195" s="32"/>
      <c r="I195" s="32"/>
      <c r="J195" s="207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206"/>
      <c r="D196" s="206"/>
      <c r="E196" s="32"/>
      <c r="F196" s="206"/>
      <c r="G196" s="32"/>
      <c r="H196" s="32"/>
      <c r="I196" s="32"/>
      <c r="J196" s="207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206"/>
      <c r="D197" s="206"/>
      <c r="E197" s="32"/>
      <c r="F197" s="206"/>
      <c r="G197" s="32"/>
      <c r="H197" s="32"/>
      <c r="I197" s="32"/>
      <c r="J197" s="207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206"/>
      <c r="D198" s="206"/>
      <c r="E198" s="32"/>
      <c r="F198" s="206"/>
      <c r="G198" s="32"/>
      <c r="H198" s="32"/>
      <c r="I198" s="32"/>
      <c r="J198" s="207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206"/>
      <c r="D199" s="206"/>
      <c r="E199" s="32"/>
      <c r="F199" s="206"/>
      <c r="G199" s="32"/>
      <c r="H199" s="32"/>
      <c r="I199" s="32"/>
      <c r="J199" s="207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206"/>
      <c r="D200" s="206"/>
      <c r="E200" s="32"/>
      <c r="F200" s="206"/>
      <c r="G200" s="32"/>
      <c r="H200" s="32"/>
      <c r="I200" s="32"/>
      <c r="J200" s="207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206"/>
      <c r="D201" s="206"/>
      <c r="E201" s="32"/>
      <c r="F201" s="206"/>
      <c r="G201" s="32"/>
      <c r="H201" s="32"/>
      <c r="I201" s="32"/>
      <c r="J201" s="207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206"/>
      <c r="D202" s="206"/>
      <c r="E202" s="32"/>
      <c r="F202" s="206"/>
      <c r="G202" s="32"/>
      <c r="H202" s="32"/>
      <c r="I202" s="32"/>
      <c r="J202" s="207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206"/>
      <c r="D203" s="206"/>
      <c r="E203" s="32"/>
      <c r="F203" s="206"/>
      <c r="G203" s="32"/>
      <c r="H203" s="32"/>
      <c r="I203" s="32"/>
      <c r="J203" s="207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206"/>
      <c r="D204" s="206"/>
      <c r="E204" s="32"/>
      <c r="F204" s="206"/>
      <c r="G204" s="32"/>
      <c r="H204" s="32"/>
      <c r="I204" s="32"/>
      <c r="J204" s="207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206"/>
      <c r="D205" s="206"/>
      <c r="E205" s="32"/>
      <c r="F205" s="206"/>
      <c r="G205" s="32"/>
      <c r="H205" s="32"/>
      <c r="I205" s="32"/>
      <c r="J205" s="207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206"/>
      <c r="D206" s="206"/>
      <c r="E206" s="32"/>
      <c r="F206" s="206"/>
      <c r="G206" s="32"/>
      <c r="H206" s="32"/>
      <c r="I206" s="32"/>
      <c r="J206" s="207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206"/>
      <c r="D207" s="206"/>
      <c r="E207" s="32"/>
      <c r="F207" s="206"/>
      <c r="G207" s="32"/>
      <c r="H207" s="32"/>
      <c r="I207" s="32"/>
      <c r="J207" s="207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206"/>
      <c r="D208" s="206"/>
      <c r="E208" s="32"/>
      <c r="F208" s="206"/>
      <c r="G208" s="32"/>
      <c r="H208" s="32"/>
      <c r="I208" s="32"/>
      <c r="J208" s="207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206"/>
      <c r="D209" s="206"/>
      <c r="E209" s="32"/>
      <c r="F209" s="206"/>
      <c r="G209" s="32"/>
      <c r="H209" s="32"/>
      <c r="I209" s="32"/>
      <c r="J209" s="207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206"/>
      <c r="D210" s="206"/>
      <c r="E210" s="32"/>
      <c r="F210" s="206"/>
      <c r="G210" s="32"/>
      <c r="H210" s="32"/>
      <c r="I210" s="32"/>
      <c r="J210" s="207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206"/>
      <c r="D211" s="206"/>
      <c r="E211" s="32"/>
      <c r="F211" s="206"/>
      <c r="G211" s="32"/>
      <c r="H211" s="32"/>
      <c r="I211" s="32"/>
      <c r="J211" s="207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206"/>
      <c r="D212" s="206"/>
      <c r="E212" s="32"/>
      <c r="F212" s="206"/>
      <c r="G212" s="32"/>
      <c r="H212" s="32"/>
      <c r="I212" s="32"/>
      <c r="J212" s="207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206"/>
      <c r="D213" s="206"/>
      <c r="E213" s="32"/>
      <c r="F213" s="206"/>
      <c r="G213" s="32"/>
      <c r="H213" s="32"/>
      <c r="I213" s="32"/>
      <c r="J213" s="207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206"/>
      <c r="D214" s="206"/>
      <c r="E214" s="32"/>
      <c r="F214" s="206"/>
      <c r="G214" s="32"/>
      <c r="H214" s="32"/>
      <c r="I214" s="32"/>
      <c r="J214" s="207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206"/>
      <c r="D215" s="206"/>
      <c r="E215" s="32"/>
      <c r="F215" s="206"/>
      <c r="G215" s="32"/>
      <c r="H215" s="32"/>
      <c r="I215" s="32"/>
      <c r="J215" s="207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206"/>
      <c r="D216" s="206"/>
      <c r="E216" s="32"/>
      <c r="F216" s="206"/>
      <c r="G216" s="32"/>
      <c r="H216" s="32"/>
      <c r="I216" s="32"/>
      <c r="J216" s="207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206"/>
      <c r="D217" s="206"/>
      <c r="E217" s="32"/>
      <c r="F217" s="206"/>
      <c r="G217" s="32"/>
      <c r="H217" s="32"/>
      <c r="I217" s="32"/>
      <c r="J217" s="207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206"/>
      <c r="D218" s="206"/>
      <c r="E218" s="32"/>
      <c r="F218" s="206"/>
      <c r="G218" s="32"/>
      <c r="H218" s="32"/>
      <c r="I218" s="32"/>
      <c r="J218" s="207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206"/>
      <c r="D219" s="206"/>
      <c r="E219" s="32"/>
      <c r="F219" s="206"/>
      <c r="G219" s="32"/>
      <c r="H219" s="32"/>
      <c r="I219" s="32"/>
      <c r="J219" s="207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206"/>
      <c r="D220" s="206"/>
      <c r="E220" s="32"/>
      <c r="F220" s="206"/>
      <c r="G220" s="32"/>
      <c r="H220" s="32"/>
      <c r="I220" s="32"/>
      <c r="J220" s="207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206"/>
      <c r="D221" s="206"/>
      <c r="E221" s="32"/>
      <c r="F221" s="206"/>
      <c r="G221" s="32"/>
      <c r="H221" s="32"/>
      <c r="I221" s="32"/>
      <c r="J221" s="207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206"/>
      <c r="D222" s="206"/>
      <c r="E222" s="32"/>
      <c r="F222" s="206"/>
      <c r="G222" s="32"/>
      <c r="H222" s="32"/>
      <c r="I222" s="32"/>
      <c r="J222" s="207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206"/>
      <c r="D223" s="206"/>
      <c r="E223" s="32"/>
      <c r="F223" s="206"/>
      <c r="G223" s="32"/>
      <c r="H223" s="32"/>
      <c r="I223" s="32"/>
      <c r="J223" s="207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206"/>
      <c r="D224" s="206"/>
      <c r="E224" s="32"/>
      <c r="F224" s="206"/>
      <c r="G224" s="32"/>
      <c r="H224" s="32"/>
      <c r="I224" s="32"/>
      <c r="J224" s="207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206"/>
      <c r="D225" s="206"/>
      <c r="E225" s="32"/>
      <c r="F225" s="206"/>
      <c r="G225" s="32"/>
      <c r="H225" s="32"/>
      <c r="I225" s="32"/>
      <c r="J225" s="207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206"/>
      <c r="D226" s="206"/>
      <c r="E226" s="32"/>
      <c r="F226" s="206"/>
      <c r="G226" s="32"/>
      <c r="H226" s="32"/>
      <c r="I226" s="32"/>
      <c r="J226" s="207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206"/>
      <c r="D227" s="206"/>
      <c r="E227" s="32"/>
      <c r="F227" s="206"/>
      <c r="G227" s="32"/>
      <c r="H227" s="32"/>
      <c r="I227" s="32"/>
      <c r="J227" s="207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206"/>
      <c r="D228" s="206"/>
      <c r="E228" s="32"/>
      <c r="F228" s="206"/>
      <c r="G228" s="32"/>
      <c r="H228" s="32"/>
      <c r="I228" s="32"/>
      <c r="J228" s="207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206"/>
      <c r="D229" s="206"/>
      <c r="E229" s="32"/>
      <c r="F229" s="206"/>
      <c r="G229" s="32"/>
      <c r="H229" s="32"/>
      <c r="I229" s="32"/>
      <c r="J229" s="207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206"/>
      <c r="D230" s="206"/>
      <c r="E230" s="32"/>
      <c r="F230" s="206"/>
      <c r="G230" s="32"/>
      <c r="H230" s="32"/>
      <c r="I230" s="32"/>
      <c r="J230" s="207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206"/>
      <c r="D231" s="206"/>
      <c r="E231" s="32"/>
      <c r="F231" s="206"/>
      <c r="G231" s="32"/>
      <c r="H231" s="32"/>
      <c r="I231" s="32"/>
      <c r="J231" s="207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206"/>
      <c r="D232" s="206"/>
      <c r="E232" s="32"/>
      <c r="F232" s="206"/>
      <c r="G232" s="32"/>
      <c r="H232" s="32"/>
      <c r="I232" s="32"/>
      <c r="J232" s="207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206"/>
      <c r="D233" s="206"/>
      <c r="E233" s="32"/>
      <c r="F233" s="206"/>
      <c r="G233" s="32"/>
      <c r="H233" s="32"/>
      <c r="I233" s="32"/>
      <c r="J233" s="207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206"/>
      <c r="D234" s="206"/>
      <c r="E234" s="32"/>
      <c r="F234" s="206"/>
      <c r="G234" s="32"/>
      <c r="H234" s="32"/>
      <c r="I234" s="32"/>
      <c r="J234" s="207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206"/>
      <c r="D235" s="206"/>
      <c r="E235" s="32"/>
      <c r="F235" s="206"/>
      <c r="G235" s="32"/>
      <c r="H235" s="32"/>
      <c r="I235" s="32"/>
      <c r="J235" s="207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206"/>
      <c r="D236" s="206"/>
      <c r="E236" s="32"/>
      <c r="F236" s="206"/>
      <c r="G236" s="32"/>
      <c r="H236" s="32"/>
      <c r="I236" s="32"/>
      <c r="J236" s="207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206"/>
      <c r="D237" s="206"/>
      <c r="E237" s="32"/>
      <c r="F237" s="206"/>
      <c r="G237" s="32"/>
      <c r="H237" s="32"/>
      <c r="I237" s="32"/>
      <c r="J237" s="207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206"/>
      <c r="D238" s="206"/>
      <c r="E238" s="32"/>
      <c r="F238" s="206"/>
      <c r="G238" s="32"/>
      <c r="H238" s="32"/>
      <c r="I238" s="32"/>
      <c r="J238" s="207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206"/>
      <c r="D239" s="206"/>
      <c r="E239" s="32"/>
      <c r="F239" s="206"/>
      <c r="G239" s="32"/>
      <c r="H239" s="32"/>
      <c r="I239" s="32"/>
      <c r="J239" s="207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206"/>
      <c r="D240" s="206"/>
      <c r="E240" s="32"/>
      <c r="F240" s="206"/>
      <c r="G240" s="32"/>
      <c r="H240" s="32"/>
      <c r="I240" s="32"/>
      <c r="J240" s="207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206"/>
      <c r="D241" s="206"/>
      <c r="E241" s="32"/>
      <c r="F241" s="206"/>
      <c r="G241" s="32"/>
      <c r="H241" s="32"/>
      <c r="I241" s="32"/>
      <c r="J241" s="207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206"/>
      <c r="D242" s="206"/>
      <c r="E242" s="32"/>
      <c r="F242" s="206"/>
      <c r="G242" s="32"/>
      <c r="H242" s="32"/>
      <c r="I242" s="32"/>
      <c r="J242" s="207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206"/>
      <c r="D243" s="206"/>
      <c r="E243" s="32"/>
      <c r="F243" s="206"/>
      <c r="G243" s="32"/>
      <c r="H243" s="32"/>
      <c r="I243" s="32"/>
      <c r="J243" s="207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206"/>
      <c r="D244" s="206"/>
      <c r="E244" s="32"/>
      <c r="F244" s="206"/>
      <c r="G244" s="32"/>
      <c r="H244" s="32"/>
      <c r="I244" s="32"/>
      <c r="J244" s="207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206"/>
      <c r="D245" s="206"/>
      <c r="E245" s="32"/>
      <c r="F245" s="206"/>
      <c r="G245" s="32"/>
      <c r="H245" s="32"/>
      <c r="I245" s="32"/>
      <c r="J245" s="207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206"/>
      <c r="D246" s="206"/>
      <c r="E246" s="32"/>
      <c r="F246" s="206"/>
      <c r="G246" s="32"/>
      <c r="H246" s="32"/>
      <c r="I246" s="32"/>
      <c r="J246" s="207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206"/>
      <c r="D247" s="206"/>
      <c r="E247" s="32"/>
      <c r="F247" s="206"/>
      <c r="G247" s="32"/>
      <c r="H247" s="32"/>
      <c r="I247" s="32"/>
      <c r="J247" s="207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206"/>
      <c r="D248" s="206"/>
      <c r="E248" s="32"/>
      <c r="F248" s="206"/>
      <c r="G248" s="32"/>
      <c r="H248" s="32"/>
      <c r="I248" s="32"/>
      <c r="J248" s="207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206"/>
      <c r="D249" s="206"/>
      <c r="E249" s="32"/>
      <c r="F249" s="206"/>
      <c r="G249" s="32"/>
      <c r="H249" s="32"/>
      <c r="I249" s="32"/>
      <c r="J249" s="207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206"/>
      <c r="D250" s="206"/>
      <c r="E250" s="32"/>
      <c r="F250" s="206"/>
      <c r="G250" s="32"/>
      <c r="H250" s="32"/>
      <c r="I250" s="32"/>
      <c r="J250" s="207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206"/>
      <c r="D251" s="206"/>
      <c r="E251" s="32"/>
      <c r="F251" s="206"/>
      <c r="G251" s="32"/>
      <c r="H251" s="32"/>
      <c r="I251" s="32"/>
      <c r="J251" s="207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206"/>
      <c r="D252" s="206"/>
      <c r="E252" s="32"/>
      <c r="F252" s="206"/>
      <c r="G252" s="32"/>
      <c r="H252" s="32"/>
      <c r="I252" s="32"/>
      <c r="J252" s="207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206"/>
      <c r="D253" s="206"/>
      <c r="E253" s="32"/>
      <c r="F253" s="206"/>
      <c r="G253" s="32"/>
      <c r="H253" s="32"/>
      <c r="I253" s="32"/>
      <c r="J253" s="207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206"/>
      <c r="D254" s="206"/>
      <c r="E254" s="32"/>
      <c r="F254" s="206"/>
      <c r="G254" s="32"/>
      <c r="H254" s="32"/>
      <c r="I254" s="32"/>
      <c r="J254" s="207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206"/>
      <c r="D255" s="206"/>
      <c r="E255" s="32"/>
      <c r="F255" s="206"/>
      <c r="G255" s="32"/>
      <c r="H255" s="32"/>
      <c r="I255" s="32"/>
      <c r="J255" s="207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206"/>
      <c r="D256" s="206"/>
      <c r="E256" s="32"/>
      <c r="F256" s="206"/>
      <c r="G256" s="32"/>
      <c r="H256" s="32"/>
      <c r="I256" s="32"/>
      <c r="J256" s="207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206"/>
      <c r="D257" s="206"/>
      <c r="E257" s="32"/>
      <c r="F257" s="206"/>
      <c r="G257" s="32"/>
      <c r="H257" s="32"/>
      <c r="I257" s="32"/>
      <c r="J257" s="207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206"/>
      <c r="D258" s="206"/>
      <c r="E258" s="32"/>
      <c r="F258" s="206"/>
      <c r="G258" s="32"/>
      <c r="H258" s="32"/>
      <c r="I258" s="32"/>
      <c r="J258" s="207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206"/>
      <c r="D259" s="206"/>
      <c r="E259" s="32"/>
      <c r="F259" s="206"/>
      <c r="G259" s="32"/>
      <c r="H259" s="32"/>
      <c r="I259" s="32"/>
      <c r="J259" s="207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206"/>
      <c r="D260" s="206"/>
      <c r="E260" s="32"/>
      <c r="F260" s="206"/>
      <c r="G260" s="32"/>
      <c r="H260" s="32"/>
      <c r="I260" s="32"/>
      <c r="J260" s="207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206"/>
      <c r="D261" s="206"/>
      <c r="E261" s="32"/>
      <c r="F261" s="206"/>
      <c r="G261" s="32"/>
      <c r="H261" s="32"/>
      <c r="I261" s="32"/>
      <c r="J261" s="207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206"/>
      <c r="D262" s="206"/>
      <c r="E262" s="32"/>
      <c r="F262" s="206"/>
      <c r="G262" s="32"/>
      <c r="H262" s="32"/>
      <c r="I262" s="32"/>
      <c r="J262" s="207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206"/>
      <c r="D263" s="206"/>
      <c r="E263" s="32"/>
      <c r="F263" s="206"/>
      <c r="G263" s="32"/>
      <c r="H263" s="32"/>
      <c r="I263" s="32"/>
      <c r="J263" s="207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206"/>
      <c r="D264" s="206"/>
      <c r="E264" s="32"/>
      <c r="F264" s="206"/>
      <c r="G264" s="32"/>
      <c r="H264" s="32"/>
      <c r="I264" s="32"/>
      <c r="J264" s="207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206"/>
      <c r="D265" s="206"/>
      <c r="E265" s="32"/>
      <c r="F265" s="206"/>
      <c r="G265" s="32"/>
      <c r="H265" s="32"/>
      <c r="I265" s="32"/>
      <c r="J265" s="207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206"/>
      <c r="D266" s="206"/>
      <c r="E266" s="32"/>
      <c r="F266" s="206"/>
      <c r="G266" s="32"/>
      <c r="H266" s="32"/>
      <c r="I266" s="32"/>
      <c r="J266" s="207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206"/>
      <c r="D267" s="206"/>
      <c r="E267" s="32"/>
      <c r="F267" s="206"/>
      <c r="G267" s="32"/>
      <c r="H267" s="32"/>
      <c r="I267" s="32"/>
      <c r="J267" s="207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206"/>
      <c r="D268" s="206"/>
      <c r="E268" s="32"/>
      <c r="F268" s="206"/>
      <c r="G268" s="32"/>
      <c r="H268" s="32"/>
      <c r="I268" s="32"/>
      <c r="J268" s="207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206"/>
      <c r="D269" s="206"/>
      <c r="E269" s="32"/>
      <c r="F269" s="206"/>
      <c r="G269" s="32"/>
      <c r="H269" s="32"/>
      <c r="I269" s="32"/>
      <c r="J269" s="207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206"/>
      <c r="D270" s="206"/>
      <c r="E270" s="32"/>
      <c r="F270" s="206"/>
      <c r="G270" s="32"/>
      <c r="H270" s="32"/>
      <c r="I270" s="32"/>
      <c r="J270" s="207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206"/>
      <c r="D271" s="206"/>
      <c r="E271" s="32"/>
      <c r="F271" s="206"/>
      <c r="G271" s="32"/>
      <c r="H271" s="32"/>
      <c r="I271" s="32"/>
      <c r="J271" s="207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206"/>
      <c r="D272" s="206"/>
      <c r="E272" s="32"/>
      <c r="F272" s="206"/>
      <c r="G272" s="32"/>
      <c r="H272" s="32"/>
      <c r="I272" s="32"/>
      <c r="J272" s="207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206"/>
      <c r="D273" s="206"/>
      <c r="E273" s="32"/>
      <c r="F273" s="206"/>
      <c r="G273" s="32"/>
      <c r="H273" s="32"/>
      <c r="I273" s="32"/>
      <c r="J273" s="207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206"/>
      <c r="D274" s="206"/>
      <c r="E274" s="32"/>
      <c r="F274" s="206"/>
      <c r="G274" s="32"/>
      <c r="H274" s="32"/>
      <c r="I274" s="32"/>
      <c r="J274" s="207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206"/>
      <c r="D275" s="206"/>
      <c r="E275" s="32"/>
      <c r="F275" s="206"/>
      <c r="G275" s="32"/>
      <c r="H275" s="32"/>
      <c r="I275" s="32"/>
      <c r="J275" s="207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206"/>
      <c r="D276" s="206"/>
      <c r="E276" s="32"/>
      <c r="F276" s="206"/>
      <c r="G276" s="32"/>
      <c r="H276" s="32"/>
      <c r="I276" s="32"/>
      <c r="J276" s="207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206"/>
      <c r="D277" s="206"/>
      <c r="E277" s="32"/>
      <c r="F277" s="206"/>
      <c r="G277" s="32"/>
      <c r="H277" s="32"/>
      <c r="I277" s="32"/>
      <c r="J277" s="207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206"/>
      <c r="D278" s="206"/>
      <c r="E278" s="32"/>
      <c r="F278" s="206"/>
      <c r="G278" s="32"/>
      <c r="H278" s="32"/>
      <c r="I278" s="32"/>
      <c r="J278" s="207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206"/>
      <c r="D279" s="206"/>
      <c r="E279" s="32"/>
      <c r="F279" s="206"/>
      <c r="G279" s="32"/>
      <c r="H279" s="32"/>
      <c r="I279" s="32"/>
      <c r="J279" s="207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206"/>
      <c r="D280" s="206"/>
      <c r="E280" s="32"/>
      <c r="F280" s="206"/>
      <c r="G280" s="32"/>
      <c r="H280" s="32"/>
      <c r="I280" s="32"/>
      <c r="J280" s="207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206"/>
      <c r="D281" s="206"/>
      <c r="E281" s="32"/>
      <c r="F281" s="206"/>
      <c r="G281" s="32"/>
      <c r="H281" s="32"/>
      <c r="I281" s="32"/>
      <c r="J281" s="207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206"/>
      <c r="D282" s="206"/>
      <c r="E282" s="32"/>
      <c r="F282" s="206"/>
      <c r="G282" s="32"/>
      <c r="H282" s="32"/>
      <c r="I282" s="32"/>
      <c r="J282" s="207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206"/>
      <c r="D283" s="206"/>
      <c r="E283" s="32"/>
      <c r="F283" s="206"/>
      <c r="G283" s="32"/>
      <c r="H283" s="32"/>
      <c r="I283" s="32"/>
      <c r="J283" s="207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206"/>
      <c r="D284" s="206"/>
      <c r="E284" s="32"/>
      <c r="F284" s="206"/>
      <c r="G284" s="32"/>
      <c r="H284" s="32"/>
      <c r="I284" s="32"/>
      <c r="J284" s="207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206"/>
      <c r="D285" s="206"/>
      <c r="E285" s="32"/>
      <c r="F285" s="206"/>
      <c r="G285" s="32"/>
      <c r="H285" s="32"/>
      <c r="I285" s="32"/>
      <c r="J285" s="207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206"/>
      <c r="D286" s="206"/>
      <c r="E286" s="32"/>
      <c r="F286" s="206"/>
      <c r="G286" s="32"/>
      <c r="H286" s="32"/>
      <c r="I286" s="32"/>
      <c r="J286" s="207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206"/>
      <c r="D287" s="206"/>
      <c r="E287" s="32"/>
      <c r="F287" s="206"/>
      <c r="G287" s="32"/>
      <c r="H287" s="32"/>
      <c r="I287" s="32"/>
      <c r="J287" s="207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206"/>
      <c r="D288" s="206"/>
      <c r="E288" s="32"/>
      <c r="F288" s="206"/>
      <c r="G288" s="32"/>
      <c r="H288" s="32"/>
      <c r="I288" s="32"/>
      <c r="J288" s="207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206"/>
      <c r="D289" s="206"/>
      <c r="E289" s="32"/>
      <c r="F289" s="206"/>
      <c r="G289" s="32"/>
      <c r="H289" s="32"/>
      <c r="I289" s="32"/>
      <c r="J289" s="207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206"/>
      <c r="D290" s="206"/>
      <c r="E290" s="32"/>
      <c r="F290" s="206"/>
      <c r="G290" s="32"/>
      <c r="H290" s="32"/>
      <c r="I290" s="32"/>
      <c r="J290" s="207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206"/>
      <c r="D291" s="206"/>
      <c r="E291" s="32"/>
      <c r="F291" s="206"/>
      <c r="G291" s="32"/>
      <c r="H291" s="32"/>
      <c r="I291" s="32"/>
      <c r="J291" s="207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206"/>
      <c r="D292" s="206"/>
      <c r="E292" s="32"/>
      <c r="F292" s="206"/>
      <c r="G292" s="32"/>
      <c r="H292" s="32"/>
      <c r="I292" s="32"/>
      <c r="J292" s="207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206"/>
      <c r="D293" s="206"/>
      <c r="E293" s="32"/>
      <c r="F293" s="206"/>
      <c r="G293" s="32"/>
      <c r="H293" s="32"/>
      <c r="I293" s="32"/>
      <c r="J293" s="207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206"/>
      <c r="D294" s="206"/>
      <c r="E294" s="32"/>
      <c r="F294" s="206"/>
      <c r="G294" s="32"/>
      <c r="H294" s="32"/>
      <c r="I294" s="32"/>
      <c r="J294" s="207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206"/>
      <c r="D295" s="206"/>
      <c r="E295" s="32"/>
      <c r="F295" s="206"/>
      <c r="G295" s="32"/>
      <c r="H295" s="32"/>
      <c r="I295" s="32"/>
      <c r="J295" s="207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206"/>
      <c r="D296" s="206"/>
      <c r="E296" s="32"/>
      <c r="F296" s="206"/>
      <c r="G296" s="32"/>
      <c r="H296" s="32"/>
      <c r="I296" s="32"/>
      <c r="J296" s="207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206"/>
      <c r="D297" s="206"/>
      <c r="E297" s="32"/>
      <c r="F297" s="206"/>
      <c r="G297" s="32"/>
      <c r="H297" s="32"/>
      <c r="I297" s="32"/>
      <c r="J297" s="207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206"/>
      <c r="D298" s="206"/>
      <c r="E298" s="32"/>
      <c r="F298" s="206"/>
      <c r="G298" s="32"/>
      <c r="H298" s="32"/>
      <c r="I298" s="32"/>
      <c r="J298" s="207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206"/>
      <c r="D299" s="206"/>
      <c r="E299" s="32"/>
      <c r="F299" s="206"/>
      <c r="G299" s="32"/>
      <c r="H299" s="32"/>
      <c r="I299" s="32"/>
      <c r="J299" s="207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206"/>
      <c r="D300" s="206"/>
      <c r="E300" s="32"/>
      <c r="F300" s="206"/>
      <c r="G300" s="32"/>
      <c r="H300" s="32"/>
      <c r="I300" s="32"/>
      <c r="J300" s="207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206"/>
      <c r="D301" s="206"/>
      <c r="E301" s="32"/>
      <c r="F301" s="206"/>
      <c r="G301" s="32"/>
      <c r="H301" s="32"/>
      <c r="I301" s="32"/>
      <c r="J301" s="207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206"/>
      <c r="D302" s="206"/>
      <c r="E302" s="32"/>
      <c r="F302" s="206"/>
      <c r="G302" s="32"/>
      <c r="H302" s="32"/>
      <c r="I302" s="32"/>
      <c r="J302" s="207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206"/>
      <c r="D303" s="206"/>
      <c r="E303" s="32"/>
      <c r="F303" s="206"/>
      <c r="G303" s="32"/>
      <c r="H303" s="32"/>
      <c r="I303" s="32"/>
      <c r="J303" s="207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206"/>
      <c r="D304" s="206"/>
      <c r="E304" s="32"/>
      <c r="F304" s="206"/>
      <c r="G304" s="32"/>
      <c r="H304" s="32"/>
      <c r="I304" s="32"/>
      <c r="J304" s="207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206"/>
      <c r="D305" s="206"/>
      <c r="E305" s="32"/>
      <c r="F305" s="206"/>
      <c r="G305" s="32"/>
      <c r="H305" s="32"/>
      <c r="I305" s="32"/>
      <c r="J305" s="207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206"/>
      <c r="D306" s="206"/>
      <c r="E306" s="32"/>
      <c r="F306" s="206"/>
      <c r="G306" s="32"/>
      <c r="H306" s="32"/>
      <c r="I306" s="32"/>
      <c r="J306" s="207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206"/>
      <c r="D307" s="206"/>
      <c r="E307" s="32"/>
      <c r="F307" s="206"/>
      <c r="G307" s="32"/>
      <c r="H307" s="32"/>
      <c r="I307" s="32"/>
      <c r="J307" s="207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206"/>
      <c r="D308" s="206"/>
      <c r="E308" s="32"/>
      <c r="F308" s="206"/>
      <c r="G308" s="32"/>
      <c r="H308" s="32"/>
      <c r="I308" s="32"/>
      <c r="J308" s="207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206"/>
      <c r="D309" s="206"/>
      <c r="E309" s="32"/>
      <c r="F309" s="206"/>
      <c r="G309" s="32"/>
      <c r="H309" s="32"/>
      <c r="I309" s="32"/>
      <c r="J309" s="207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206"/>
      <c r="D310" s="206"/>
      <c r="E310" s="32"/>
      <c r="F310" s="206"/>
      <c r="G310" s="32"/>
      <c r="H310" s="32"/>
      <c r="I310" s="32"/>
      <c r="J310" s="207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206"/>
      <c r="D311" s="206"/>
      <c r="E311" s="32"/>
      <c r="F311" s="206"/>
      <c r="G311" s="32"/>
      <c r="H311" s="32"/>
      <c r="I311" s="32"/>
      <c r="J311" s="207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206"/>
      <c r="D312" s="206"/>
      <c r="E312" s="32"/>
      <c r="F312" s="206"/>
      <c r="G312" s="32"/>
      <c r="H312" s="32"/>
      <c r="I312" s="32"/>
      <c r="J312" s="207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206"/>
      <c r="D313" s="206"/>
      <c r="E313" s="32"/>
      <c r="F313" s="206"/>
      <c r="G313" s="32"/>
      <c r="H313" s="32"/>
      <c r="I313" s="32"/>
      <c r="J313" s="207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206"/>
      <c r="D314" s="206"/>
      <c r="E314" s="32"/>
      <c r="F314" s="206"/>
      <c r="G314" s="32"/>
      <c r="H314" s="32"/>
      <c r="I314" s="32"/>
      <c r="J314" s="207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206"/>
      <c r="D315" s="206"/>
      <c r="E315" s="32"/>
      <c r="F315" s="206"/>
      <c r="G315" s="32"/>
      <c r="H315" s="32"/>
      <c r="I315" s="32"/>
      <c r="J315" s="207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206"/>
      <c r="D316" s="206"/>
      <c r="E316" s="32"/>
      <c r="F316" s="206"/>
      <c r="G316" s="32"/>
      <c r="H316" s="32"/>
      <c r="I316" s="32"/>
      <c r="J316" s="207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206"/>
      <c r="D317" s="206"/>
      <c r="E317" s="32"/>
      <c r="F317" s="206"/>
      <c r="G317" s="32"/>
      <c r="H317" s="32"/>
      <c r="I317" s="32"/>
      <c r="J317" s="207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206"/>
      <c r="D318" s="206"/>
      <c r="E318" s="32"/>
      <c r="F318" s="206"/>
      <c r="G318" s="32"/>
      <c r="H318" s="32"/>
      <c r="I318" s="32"/>
      <c r="J318" s="207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206"/>
      <c r="D319" s="206"/>
      <c r="E319" s="32"/>
      <c r="F319" s="206"/>
      <c r="G319" s="32"/>
      <c r="H319" s="32"/>
      <c r="I319" s="32"/>
      <c r="J319" s="207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206"/>
      <c r="D320" s="206"/>
      <c r="E320" s="32"/>
      <c r="F320" s="206"/>
      <c r="G320" s="32"/>
      <c r="H320" s="32"/>
      <c r="I320" s="32"/>
      <c r="J320" s="207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206"/>
      <c r="D321" s="206"/>
      <c r="E321" s="32"/>
      <c r="F321" s="206"/>
      <c r="G321" s="32"/>
      <c r="H321" s="32"/>
      <c r="I321" s="32"/>
      <c r="J321" s="207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206"/>
      <c r="D322" s="206"/>
      <c r="E322" s="32"/>
      <c r="F322" s="206"/>
      <c r="G322" s="32"/>
      <c r="H322" s="32"/>
      <c r="I322" s="32"/>
      <c r="J322" s="207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206"/>
      <c r="D323" s="206"/>
      <c r="E323" s="32"/>
      <c r="F323" s="206"/>
      <c r="G323" s="32"/>
      <c r="H323" s="32"/>
      <c r="I323" s="32"/>
      <c r="J323" s="207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206"/>
      <c r="D324" s="206"/>
      <c r="E324" s="32"/>
      <c r="F324" s="206"/>
      <c r="G324" s="32"/>
      <c r="H324" s="32"/>
      <c r="I324" s="32"/>
      <c r="J324" s="207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206"/>
      <c r="D325" s="206"/>
      <c r="E325" s="32"/>
      <c r="F325" s="206"/>
      <c r="G325" s="32"/>
      <c r="H325" s="32"/>
      <c r="I325" s="32"/>
      <c r="J325" s="207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206"/>
      <c r="D326" s="206"/>
      <c r="E326" s="32"/>
      <c r="F326" s="206"/>
      <c r="G326" s="32"/>
      <c r="H326" s="32"/>
      <c r="I326" s="32"/>
      <c r="J326" s="207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206"/>
      <c r="D327" s="206"/>
      <c r="E327" s="32"/>
      <c r="F327" s="206"/>
      <c r="G327" s="32"/>
      <c r="H327" s="32"/>
      <c r="I327" s="32"/>
      <c r="J327" s="207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206"/>
      <c r="D328" s="206"/>
      <c r="E328" s="32"/>
      <c r="F328" s="206"/>
      <c r="G328" s="32"/>
      <c r="H328" s="32"/>
      <c r="I328" s="32"/>
      <c r="J328" s="207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206"/>
      <c r="D329" s="206"/>
      <c r="E329" s="32"/>
      <c r="F329" s="206"/>
      <c r="G329" s="32"/>
      <c r="H329" s="32"/>
      <c r="I329" s="32"/>
      <c r="J329" s="207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206"/>
      <c r="D330" s="206"/>
      <c r="E330" s="32"/>
      <c r="F330" s="206"/>
      <c r="G330" s="32"/>
      <c r="H330" s="32"/>
      <c r="I330" s="32"/>
      <c r="J330" s="207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206"/>
      <c r="D331" s="206"/>
      <c r="E331" s="32"/>
      <c r="F331" s="206"/>
      <c r="G331" s="32"/>
      <c r="H331" s="32"/>
      <c r="I331" s="32"/>
      <c r="J331" s="207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206"/>
      <c r="D332" s="206"/>
      <c r="E332" s="32"/>
      <c r="F332" s="206"/>
      <c r="G332" s="32"/>
      <c r="H332" s="32"/>
      <c r="I332" s="32"/>
      <c r="J332" s="207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206"/>
      <c r="D333" s="206"/>
      <c r="E333" s="32"/>
      <c r="F333" s="206"/>
      <c r="G333" s="32"/>
      <c r="H333" s="32"/>
      <c r="I333" s="32"/>
      <c r="J333" s="207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206"/>
      <c r="D334" s="206"/>
      <c r="E334" s="32"/>
      <c r="F334" s="206"/>
      <c r="G334" s="32"/>
      <c r="H334" s="32"/>
      <c r="I334" s="32"/>
      <c r="J334" s="207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206"/>
      <c r="D335" s="206"/>
      <c r="E335" s="32"/>
      <c r="F335" s="206"/>
      <c r="G335" s="32"/>
      <c r="H335" s="32"/>
      <c r="I335" s="32"/>
      <c r="J335" s="207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206"/>
      <c r="D336" s="206"/>
      <c r="E336" s="32"/>
      <c r="F336" s="206"/>
      <c r="G336" s="32"/>
      <c r="H336" s="32"/>
      <c r="I336" s="32"/>
      <c r="J336" s="207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206"/>
      <c r="D337" s="206"/>
      <c r="E337" s="32"/>
      <c r="F337" s="206"/>
      <c r="G337" s="32"/>
      <c r="H337" s="32"/>
      <c r="I337" s="32"/>
      <c r="J337" s="207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206"/>
      <c r="D338" s="206"/>
      <c r="E338" s="32"/>
      <c r="F338" s="206"/>
      <c r="G338" s="32"/>
      <c r="H338" s="32"/>
      <c r="I338" s="32"/>
      <c r="J338" s="207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206"/>
      <c r="D339" s="206"/>
      <c r="E339" s="32"/>
      <c r="F339" s="206"/>
      <c r="G339" s="32"/>
      <c r="H339" s="32"/>
      <c r="I339" s="32"/>
      <c r="J339" s="207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206"/>
      <c r="D340" s="206"/>
      <c r="E340" s="32"/>
      <c r="F340" s="206"/>
      <c r="G340" s="32"/>
      <c r="H340" s="32"/>
      <c r="I340" s="32"/>
      <c r="J340" s="207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206"/>
      <c r="D341" s="206"/>
      <c r="E341" s="32"/>
      <c r="F341" s="206"/>
      <c r="G341" s="32"/>
      <c r="H341" s="32"/>
      <c r="I341" s="32"/>
      <c r="J341" s="207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206"/>
      <c r="D342" s="206"/>
      <c r="E342" s="32"/>
      <c r="F342" s="206"/>
      <c r="G342" s="32"/>
      <c r="H342" s="32"/>
      <c r="I342" s="32"/>
      <c r="J342" s="207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206"/>
      <c r="D343" s="206"/>
      <c r="E343" s="32"/>
      <c r="F343" s="206"/>
      <c r="G343" s="32"/>
      <c r="H343" s="32"/>
      <c r="I343" s="32"/>
      <c r="J343" s="207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206"/>
      <c r="D344" s="206"/>
      <c r="E344" s="32"/>
      <c r="F344" s="206"/>
      <c r="G344" s="32"/>
      <c r="H344" s="32"/>
      <c r="I344" s="32"/>
      <c r="J344" s="207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206"/>
      <c r="D345" s="206"/>
      <c r="E345" s="32"/>
      <c r="F345" s="206"/>
      <c r="G345" s="32"/>
      <c r="H345" s="32"/>
      <c r="I345" s="32"/>
      <c r="J345" s="207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206"/>
      <c r="D346" s="206"/>
      <c r="E346" s="32"/>
      <c r="F346" s="206"/>
      <c r="G346" s="32"/>
      <c r="H346" s="32"/>
      <c r="I346" s="32"/>
      <c r="J346" s="207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206"/>
      <c r="D347" s="206"/>
      <c r="E347" s="32"/>
      <c r="F347" s="206"/>
      <c r="G347" s="32"/>
      <c r="H347" s="32"/>
      <c r="I347" s="32"/>
      <c r="J347" s="207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206"/>
      <c r="D348" s="206"/>
      <c r="E348" s="32"/>
      <c r="F348" s="206"/>
      <c r="G348" s="32"/>
      <c r="H348" s="32"/>
      <c r="I348" s="32"/>
      <c r="J348" s="207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206"/>
      <c r="D349" s="206"/>
      <c r="E349" s="32"/>
      <c r="F349" s="206"/>
      <c r="G349" s="32"/>
      <c r="H349" s="32"/>
      <c r="I349" s="32"/>
      <c r="J349" s="207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206"/>
      <c r="D350" s="206"/>
      <c r="E350" s="32"/>
      <c r="F350" s="206"/>
      <c r="G350" s="32"/>
      <c r="H350" s="32"/>
      <c r="I350" s="32"/>
      <c r="J350" s="207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206"/>
      <c r="D351" s="206"/>
      <c r="E351" s="32"/>
      <c r="F351" s="206"/>
      <c r="G351" s="32"/>
      <c r="H351" s="32"/>
      <c r="I351" s="32"/>
      <c r="J351" s="207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206"/>
      <c r="D352" s="206"/>
      <c r="E352" s="32"/>
      <c r="F352" s="206"/>
      <c r="G352" s="32"/>
      <c r="H352" s="32"/>
      <c r="I352" s="32"/>
      <c r="J352" s="207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206"/>
      <c r="D353" s="206"/>
      <c r="E353" s="32"/>
      <c r="F353" s="206"/>
      <c r="G353" s="32"/>
      <c r="H353" s="32"/>
      <c r="I353" s="32"/>
      <c r="J353" s="207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206"/>
      <c r="D354" s="206"/>
      <c r="E354" s="32"/>
      <c r="F354" s="206"/>
      <c r="G354" s="32"/>
      <c r="H354" s="32"/>
      <c r="I354" s="32"/>
      <c r="J354" s="207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206"/>
      <c r="D355" s="206"/>
      <c r="E355" s="32"/>
      <c r="F355" s="206"/>
      <c r="G355" s="32"/>
      <c r="H355" s="32"/>
      <c r="I355" s="32"/>
      <c r="J355" s="207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206"/>
      <c r="D356" s="206"/>
      <c r="E356" s="32"/>
      <c r="F356" s="206"/>
      <c r="G356" s="32"/>
      <c r="H356" s="32"/>
      <c r="I356" s="32"/>
      <c r="J356" s="207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206"/>
      <c r="D357" s="206"/>
      <c r="E357" s="32"/>
      <c r="F357" s="206"/>
      <c r="G357" s="32"/>
      <c r="H357" s="32"/>
      <c r="I357" s="32"/>
      <c r="J357" s="207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206"/>
      <c r="D358" s="206"/>
      <c r="E358" s="32"/>
      <c r="F358" s="206"/>
      <c r="G358" s="32"/>
      <c r="H358" s="32"/>
      <c r="I358" s="32"/>
      <c r="J358" s="207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206"/>
      <c r="D359" s="206"/>
      <c r="E359" s="32"/>
      <c r="F359" s="206"/>
      <c r="G359" s="32"/>
      <c r="H359" s="32"/>
      <c r="I359" s="32"/>
      <c r="J359" s="207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206"/>
      <c r="D360" s="206"/>
      <c r="E360" s="32"/>
      <c r="F360" s="206"/>
      <c r="G360" s="32"/>
      <c r="H360" s="32"/>
      <c r="I360" s="32"/>
      <c r="J360" s="207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206"/>
      <c r="D361" s="206"/>
      <c r="E361" s="32"/>
      <c r="F361" s="206"/>
      <c r="G361" s="32"/>
      <c r="H361" s="32"/>
      <c r="I361" s="32"/>
      <c r="J361" s="207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206"/>
      <c r="D362" s="206"/>
      <c r="E362" s="32"/>
      <c r="F362" s="206"/>
      <c r="G362" s="32"/>
      <c r="H362" s="32"/>
      <c r="I362" s="32"/>
      <c r="J362" s="207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206"/>
      <c r="D363" s="206"/>
      <c r="E363" s="32"/>
      <c r="F363" s="206"/>
      <c r="G363" s="32"/>
      <c r="H363" s="32"/>
      <c r="I363" s="32"/>
      <c r="J363" s="207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206"/>
      <c r="D364" s="206"/>
      <c r="E364" s="32"/>
      <c r="F364" s="206"/>
      <c r="G364" s="32"/>
      <c r="H364" s="32"/>
      <c r="I364" s="32"/>
      <c r="J364" s="207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206"/>
      <c r="D365" s="206"/>
      <c r="E365" s="32"/>
      <c r="F365" s="206"/>
      <c r="G365" s="32"/>
      <c r="H365" s="32"/>
      <c r="I365" s="32"/>
      <c r="J365" s="207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206"/>
      <c r="D366" s="206"/>
      <c r="E366" s="32"/>
      <c r="F366" s="206"/>
      <c r="G366" s="32"/>
      <c r="H366" s="32"/>
      <c r="I366" s="32"/>
      <c r="J366" s="207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206"/>
      <c r="D367" s="206"/>
      <c r="E367" s="32"/>
      <c r="F367" s="206"/>
      <c r="G367" s="32"/>
      <c r="H367" s="32"/>
      <c r="I367" s="32"/>
      <c r="J367" s="207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206"/>
      <c r="D368" s="206"/>
      <c r="E368" s="32"/>
      <c r="F368" s="206"/>
      <c r="G368" s="32"/>
      <c r="H368" s="32"/>
      <c r="I368" s="32"/>
      <c r="J368" s="207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206"/>
      <c r="D369" s="206"/>
      <c r="E369" s="32"/>
      <c r="F369" s="206"/>
      <c r="G369" s="32"/>
      <c r="H369" s="32"/>
      <c r="I369" s="32"/>
      <c r="J369" s="207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206"/>
      <c r="D370" s="206"/>
      <c r="E370" s="32"/>
      <c r="F370" s="206"/>
      <c r="G370" s="32"/>
      <c r="H370" s="32"/>
      <c r="I370" s="32"/>
      <c r="J370" s="207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206"/>
      <c r="D371" s="206"/>
      <c r="E371" s="32"/>
      <c r="F371" s="206"/>
      <c r="G371" s="32"/>
      <c r="H371" s="32"/>
      <c r="I371" s="32"/>
      <c r="J371" s="207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206"/>
      <c r="D372" s="206"/>
      <c r="E372" s="32"/>
      <c r="F372" s="206"/>
      <c r="G372" s="32"/>
      <c r="H372" s="32"/>
      <c r="I372" s="32"/>
      <c r="J372" s="207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206"/>
      <c r="D373" s="206"/>
      <c r="E373" s="32"/>
      <c r="F373" s="206"/>
      <c r="G373" s="32"/>
      <c r="H373" s="32"/>
      <c r="I373" s="32"/>
      <c r="J373" s="207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206"/>
      <c r="D374" s="206"/>
      <c r="E374" s="32"/>
      <c r="F374" s="206"/>
      <c r="G374" s="32"/>
      <c r="H374" s="32"/>
      <c r="I374" s="32"/>
      <c r="J374" s="207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206"/>
      <c r="D375" s="206"/>
      <c r="E375" s="32"/>
      <c r="F375" s="206"/>
      <c r="G375" s="32"/>
      <c r="H375" s="32"/>
      <c r="I375" s="32"/>
      <c r="J375" s="207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206"/>
      <c r="D376" s="206"/>
      <c r="E376" s="32"/>
      <c r="F376" s="206"/>
      <c r="G376" s="32"/>
      <c r="H376" s="32"/>
      <c r="I376" s="32"/>
      <c r="J376" s="207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206"/>
      <c r="D377" s="206"/>
      <c r="E377" s="32"/>
      <c r="F377" s="206"/>
      <c r="G377" s="32"/>
      <c r="H377" s="32"/>
      <c r="I377" s="32"/>
      <c r="J377" s="207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206"/>
      <c r="D378" s="206"/>
      <c r="E378" s="32"/>
      <c r="F378" s="206"/>
      <c r="G378" s="32"/>
      <c r="H378" s="32"/>
      <c r="I378" s="32"/>
      <c r="J378" s="207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206"/>
      <c r="D379" s="206"/>
      <c r="E379" s="32"/>
      <c r="F379" s="206"/>
      <c r="G379" s="32"/>
      <c r="H379" s="32"/>
      <c r="I379" s="32"/>
      <c r="J379" s="207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206"/>
      <c r="D380" s="206"/>
      <c r="E380" s="32"/>
      <c r="F380" s="206"/>
      <c r="G380" s="32"/>
      <c r="H380" s="32"/>
      <c r="I380" s="32"/>
      <c r="J380" s="207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206"/>
      <c r="D381" s="206"/>
      <c r="E381" s="32"/>
      <c r="F381" s="206"/>
      <c r="G381" s="32"/>
      <c r="H381" s="32"/>
      <c r="I381" s="32"/>
      <c r="J381" s="207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206"/>
      <c r="D382" s="206"/>
      <c r="E382" s="32"/>
      <c r="F382" s="206"/>
      <c r="G382" s="32"/>
      <c r="H382" s="32"/>
      <c r="I382" s="32"/>
      <c r="J382" s="207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206"/>
      <c r="D383" s="206"/>
      <c r="E383" s="32"/>
      <c r="F383" s="206"/>
      <c r="G383" s="32"/>
      <c r="H383" s="32"/>
      <c r="I383" s="32"/>
      <c r="J383" s="207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206"/>
      <c r="D384" s="206"/>
      <c r="E384" s="32"/>
      <c r="F384" s="206"/>
      <c r="G384" s="32"/>
      <c r="H384" s="32"/>
      <c r="I384" s="32"/>
      <c r="J384" s="207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206"/>
      <c r="D385" s="206"/>
      <c r="E385" s="32"/>
      <c r="F385" s="206"/>
      <c r="G385" s="32"/>
      <c r="H385" s="32"/>
      <c r="I385" s="32"/>
      <c r="J385" s="207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206"/>
      <c r="D386" s="206"/>
      <c r="E386" s="32"/>
      <c r="F386" s="206"/>
      <c r="G386" s="32"/>
      <c r="H386" s="32"/>
      <c r="I386" s="32"/>
      <c r="J386" s="207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206"/>
      <c r="D387" s="206"/>
      <c r="E387" s="32"/>
      <c r="F387" s="206"/>
      <c r="G387" s="32"/>
      <c r="H387" s="32"/>
      <c r="I387" s="32"/>
      <c r="J387" s="207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206"/>
      <c r="D388" s="206"/>
      <c r="E388" s="32"/>
      <c r="F388" s="206"/>
      <c r="G388" s="32"/>
      <c r="H388" s="32"/>
      <c r="I388" s="32"/>
      <c r="J388" s="207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206"/>
      <c r="D389" s="206"/>
      <c r="E389" s="32"/>
      <c r="F389" s="206"/>
      <c r="G389" s="32"/>
      <c r="H389" s="32"/>
      <c r="I389" s="32"/>
      <c r="J389" s="207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206"/>
      <c r="D390" s="206"/>
      <c r="E390" s="32"/>
      <c r="F390" s="206"/>
      <c r="G390" s="32"/>
      <c r="H390" s="32"/>
      <c r="I390" s="32"/>
      <c r="J390" s="207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206"/>
      <c r="D391" s="206"/>
      <c r="E391" s="32"/>
      <c r="F391" s="206"/>
      <c r="G391" s="32"/>
      <c r="H391" s="32"/>
      <c r="I391" s="32"/>
      <c r="J391" s="207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206"/>
      <c r="D392" s="206"/>
      <c r="E392" s="32"/>
      <c r="F392" s="206"/>
      <c r="G392" s="32"/>
      <c r="H392" s="32"/>
      <c r="I392" s="32"/>
      <c r="J392" s="207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206"/>
      <c r="D393" s="206"/>
      <c r="E393" s="32"/>
      <c r="F393" s="206"/>
      <c r="G393" s="32"/>
      <c r="H393" s="32"/>
      <c r="I393" s="32"/>
      <c r="J393" s="207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206"/>
      <c r="D394" s="206"/>
      <c r="E394" s="32"/>
      <c r="F394" s="206"/>
      <c r="G394" s="32"/>
      <c r="H394" s="32"/>
      <c r="I394" s="32"/>
      <c r="J394" s="207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206"/>
      <c r="D395" s="206"/>
      <c r="E395" s="32"/>
      <c r="F395" s="206"/>
      <c r="G395" s="32"/>
      <c r="H395" s="32"/>
      <c r="I395" s="32"/>
      <c r="J395" s="207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206"/>
      <c r="D396" s="206"/>
      <c r="E396" s="32"/>
      <c r="F396" s="206"/>
      <c r="G396" s="32"/>
      <c r="H396" s="32"/>
      <c r="I396" s="32"/>
      <c r="J396" s="207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206"/>
      <c r="D397" s="206"/>
      <c r="E397" s="32"/>
      <c r="F397" s="206"/>
      <c r="G397" s="32"/>
      <c r="H397" s="32"/>
      <c r="I397" s="32"/>
      <c r="J397" s="207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206"/>
      <c r="D398" s="206"/>
      <c r="E398" s="32"/>
      <c r="F398" s="206"/>
      <c r="G398" s="32"/>
      <c r="H398" s="32"/>
      <c r="I398" s="32"/>
      <c r="J398" s="207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206"/>
      <c r="D399" s="206"/>
      <c r="E399" s="32"/>
      <c r="F399" s="206"/>
      <c r="G399" s="32"/>
      <c r="H399" s="32"/>
      <c r="I399" s="32"/>
      <c r="J399" s="207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206"/>
      <c r="D400" s="206"/>
      <c r="E400" s="32"/>
      <c r="F400" s="206"/>
      <c r="G400" s="32"/>
      <c r="H400" s="32"/>
      <c r="I400" s="32"/>
      <c r="J400" s="207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206"/>
      <c r="D401" s="206"/>
      <c r="E401" s="32"/>
      <c r="F401" s="206"/>
      <c r="G401" s="32"/>
      <c r="H401" s="32"/>
      <c r="I401" s="32"/>
      <c r="J401" s="207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206"/>
      <c r="D402" s="206"/>
      <c r="E402" s="32"/>
      <c r="F402" s="206"/>
      <c r="G402" s="32"/>
      <c r="H402" s="32"/>
      <c r="I402" s="32"/>
      <c r="J402" s="207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206"/>
      <c r="D403" s="206"/>
      <c r="E403" s="32"/>
      <c r="F403" s="206"/>
      <c r="G403" s="32"/>
      <c r="H403" s="32"/>
      <c r="I403" s="32"/>
      <c r="J403" s="207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206"/>
      <c r="D404" s="206"/>
      <c r="E404" s="32"/>
      <c r="F404" s="206"/>
      <c r="G404" s="32"/>
      <c r="H404" s="32"/>
      <c r="I404" s="32"/>
      <c r="J404" s="207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206"/>
      <c r="D405" s="206"/>
      <c r="E405" s="32"/>
      <c r="F405" s="206"/>
      <c r="G405" s="32"/>
      <c r="H405" s="32"/>
      <c r="I405" s="32"/>
      <c r="J405" s="207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206"/>
      <c r="D406" s="206"/>
      <c r="E406" s="32"/>
      <c r="F406" s="206"/>
      <c r="G406" s="32"/>
      <c r="H406" s="32"/>
      <c r="I406" s="32"/>
      <c r="J406" s="207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206"/>
      <c r="D407" s="206"/>
      <c r="E407" s="32"/>
      <c r="F407" s="206"/>
      <c r="G407" s="32"/>
      <c r="H407" s="32"/>
      <c r="I407" s="32"/>
      <c r="J407" s="207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206"/>
      <c r="D408" s="206"/>
      <c r="E408" s="32"/>
      <c r="F408" s="206"/>
      <c r="G408" s="32"/>
      <c r="H408" s="32"/>
      <c r="I408" s="32"/>
      <c r="J408" s="207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206"/>
      <c r="D409" s="206"/>
      <c r="E409" s="32"/>
      <c r="F409" s="206"/>
      <c r="G409" s="32"/>
      <c r="H409" s="32"/>
      <c r="I409" s="32"/>
      <c r="J409" s="207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206"/>
      <c r="D410" s="206"/>
      <c r="E410" s="32"/>
      <c r="F410" s="206"/>
      <c r="G410" s="32"/>
      <c r="H410" s="32"/>
      <c r="I410" s="32"/>
      <c r="J410" s="207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206"/>
      <c r="D411" s="206"/>
      <c r="E411" s="32"/>
      <c r="F411" s="206"/>
      <c r="G411" s="32"/>
      <c r="H411" s="32"/>
      <c r="I411" s="32"/>
      <c r="J411" s="207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206"/>
      <c r="D412" s="206"/>
      <c r="E412" s="32"/>
      <c r="F412" s="206"/>
      <c r="G412" s="32"/>
      <c r="H412" s="32"/>
      <c r="I412" s="32"/>
      <c r="J412" s="207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206"/>
      <c r="D413" s="206"/>
      <c r="E413" s="32"/>
      <c r="F413" s="206"/>
      <c r="G413" s="32"/>
      <c r="H413" s="32"/>
      <c r="I413" s="32"/>
      <c r="J413" s="207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206"/>
      <c r="D414" s="206"/>
      <c r="E414" s="32"/>
      <c r="F414" s="206"/>
      <c r="G414" s="32"/>
      <c r="H414" s="32"/>
      <c r="I414" s="32"/>
      <c r="J414" s="207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206"/>
      <c r="D415" s="206"/>
      <c r="E415" s="32"/>
      <c r="F415" s="206"/>
      <c r="G415" s="32"/>
      <c r="H415" s="32"/>
      <c r="I415" s="32"/>
      <c r="J415" s="207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206"/>
      <c r="D416" s="206"/>
      <c r="E416" s="32"/>
      <c r="F416" s="206"/>
      <c r="G416" s="32"/>
      <c r="H416" s="32"/>
      <c r="I416" s="32"/>
      <c r="J416" s="207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206"/>
      <c r="D417" s="206"/>
      <c r="E417" s="32"/>
      <c r="F417" s="206"/>
      <c r="G417" s="32"/>
      <c r="H417" s="32"/>
      <c r="I417" s="32"/>
      <c r="J417" s="207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206"/>
      <c r="D418" s="206"/>
      <c r="E418" s="32"/>
      <c r="F418" s="206"/>
      <c r="G418" s="32"/>
      <c r="H418" s="32"/>
      <c r="I418" s="32"/>
      <c r="J418" s="207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206"/>
      <c r="D419" s="206"/>
      <c r="E419" s="32"/>
      <c r="F419" s="206"/>
      <c r="G419" s="32"/>
      <c r="H419" s="32"/>
      <c r="I419" s="32"/>
      <c r="J419" s="207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206"/>
      <c r="D420" s="206"/>
      <c r="E420" s="32"/>
      <c r="F420" s="206"/>
      <c r="G420" s="32"/>
      <c r="H420" s="32"/>
      <c r="I420" s="32"/>
      <c r="J420" s="207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206"/>
      <c r="D421" s="206"/>
      <c r="E421" s="32"/>
      <c r="F421" s="206"/>
      <c r="G421" s="32"/>
      <c r="H421" s="32"/>
      <c r="I421" s="32"/>
      <c r="J421" s="207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206"/>
      <c r="D422" s="206"/>
      <c r="E422" s="32"/>
      <c r="F422" s="206"/>
      <c r="G422" s="32"/>
      <c r="H422" s="32"/>
      <c r="I422" s="32"/>
      <c r="J422" s="207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206"/>
      <c r="D423" s="206"/>
      <c r="E423" s="32"/>
      <c r="F423" s="206"/>
      <c r="G423" s="32"/>
      <c r="H423" s="32"/>
      <c r="I423" s="32"/>
      <c r="J423" s="207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206"/>
      <c r="D424" s="206"/>
      <c r="E424" s="32"/>
      <c r="F424" s="206"/>
      <c r="G424" s="32"/>
      <c r="H424" s="32"/>
      <c r="I424" s="32"/>
      <c r="J424" s="207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206"/>
      <c r="D425" s="206"/>
      <c r="E425" s="32"/>
      <c r="F425" s="206"/>
      <c r="G425" s="32"/>
      <c r="H425" s="32"/>
      <c r="I425" s="32"/>
      <c r="J425" s="207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206"/>
      <c r="D426" s="206"/>
      <c r="E426" s="32"/>
      <c r="F426" s="206"/>
      <c r="G426" s="32"/>
      <c r="H426" s="32"/>
      <c r="I426" s="32"/>
      <c r="J426" s="207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206"/>
      <c r="D427" s="206"/>
      <c r="E427" s="32"/>
      <c r="F427" s="206"/>
      <c r="G427" s="32"/>
      <c r="H427" s="32"/>
      <c r="I427" s="32"/>
      <c r="J427" s="207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206"/>
      <c r="D428" s="206"/>
      <c r="E428" s="32"/>
      <c r="F428" s="206"/>
      <c r="G428" s="32"/>
      <c r="H428" s="32"/>
      <c r="I428" s="32"/>
      <c r="J428" s="207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206"/>
      <c r="D429" s="206"/>
      <c r="E429" s="32"/>
      <c r="F429" s="206"/>
      <c r="G429" s="32"/>
      <c r="H429" s="32"/>
      <c r="I429" s="32"/>
      <c r="J429" s="207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206"/>
      <c r="D430" s="206"/>
      <c r="E430" s="32"/>
      <c r="F430" s="206"/>
      <c r="G430" s="32"/>
      <c r="H430" s="32"/>
      <c r="I430" s="32"/>
      <c r="J430" s="207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206"/>
      <c r="D431" s="206"/>
      <c r="E431" s="32"/>
      <c r="F431" s="206"/>
      <c r="G431" s="32"/>
      <c r="H431" s="32"/>
      <c r="I431" s="32"/>
      <c r="J431" s="207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206"/>
      <c r="D432" s="206"/>
      <c r="E432" s="32"/>
      <c r="F432" s="206"/>
      <c r="G432" s="32"/>
      <c r="H432" s="32"/>
      <c r="I432" s="32"/>
      <c r="J432" s="207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206"/>
      <c r="D433" s="206"/>
      <c r="E433" s="32"/>
      <c r="F433" s="206"/>
      <c r="G433" s="32"/>
      <c r="H433" s="32"/>
      <c r="I433" s="32"/>
      <c r="J433" s="207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206"/>
      <c r="D434" s="206"/>
      <c r="E434" s="32"/>
      <c r="F434" s="206"/>
      <c r="G434" s="32"/>
      <c r="H434" s="32"/>
      <c r="I434" s="32"/>
      <c r="J434" s="207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206"/>
      <c r="D435" s="206"/>
      <c r="E435" s="32"/>
      <c r="F435" s="206"/>
      <c r="G435" s="32"/>
      <c r="H435" s="32"/>
      <c r="I435" s="32"/>
      <c r="J435" s="207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206"/>
      <c r="D436" s="206"/>
      <c r="E436" s="32"/>
      <c r="F436" s="206"/>
      <c r="G436" s="32"/>
      <c r="H436" s="32"/>
      <c r="I436" s="32"/>
      <c r="J436" s="207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206"/>
      <c r="D437" s="206"/>
      <c r="E437" s="32"/>
      <c r="F437" s="206"/>
      <c r="G437" s="32"/>
      <c r="H437" s="32"/>
      <c r="I437" s="32"/>
      <c r="J437" s="207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206"/>
      <c r="D438" s="206"/>
      <c r="E438" s="32"/>
      <c r="F438" s="206"/>
      <c r="G438" s="32"/>
      <c r="H438" s="32"/>
      <c r="I438" s="32"/>
      <c r="J438" s="207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206"/>
      <c r="D439" s="206"/>
      <c r="E439" s="32"/>
      <c r="F439" s="206"/>
      <c r="G439" s="32"/>
      <c r="H439" s="32"/>
      <c r="I439" s="32"/>
      <c r="J439" s="207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206"/>
      <c r="D440" s="206"/>
      <c r="E440" s="32"/>
      <c r="F440" s="206"/>
      <c r="G440" s="32"/>
      <c r="H440" s="32"/>
      <c r="I440" s="32"/>
      <c r="J440" s="207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206"/>
      <c r="D441" s="206"/>
      <c r="E441" s="32"/>
      <c r="F441" s="206"/>
      <c r="G441" s="32"/>
      <c r="H441" s="32"/>
      <c r="I441" s="32"/>
      <c r="J441" s="207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206"/>
      <c r="D442" s="206"/>
      <c r="E442" s="32"/>
      <c r="F442" s="206"/>
      <c r="G442" s="32"/>
      <c r="H442" s="32"/>
      <c r="I442" s="32"/>
      <c r="J442" s="207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206"/>
      <c r="D443" s="206"/>
      <c r="E443" s="32"/>
      <c r="F443" s="206"/>
      <c r="G443" s="32"/>
      <c r="H443" s="32"/>
      <c r="I443" s="32"/>
      <c r="J443" s="207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206"/>
      <c r="D444" s="206"/>
      <c r="E444" s="32"/>
      <c r="F444" s="206"/>
      <c r="G444" s="32"/>
      <c r="H444" s="32"/>
      <c r="I444" s="32"/>
      <c r="J444" s="207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206"/>
      <c r="D445" s="206"/>
      <c r="E445" s="32"/>
      <c r="F445" s="206"/>
      <c r="G445" s="32"/>
      <c r="H445" s="32"/>
      <c r="I445" s="32"/>
      <c r="J445" s="207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206"/>
      <c r="D446" s="206"/>
      <c r="E446" s="32"/>
      <c r="F446" s="206"/>
      <c r="G446" s="32"/>
      <c r="H446" s="32"/>
      <c r="I446" s="32"/>
      <c r="J446" s="207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206"/>
      <c r="D447" s="206"/>
      <c r="E447" s="32"/>
      <c r="F447" s="206"/>
      <c r="G447" s="32"/>
      <c r="H447" s="32"/>
      <c r="I447" s="32"/>
      <c r="J447" s="207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206"/>
      <c r="D448" s="206"/>
      <c r="E448" s="32"/>
      <c r="F448" s="206"/>
      <c r="G448" s="32"/>
      <c r="H448" s="32"/>
      <c r="I448" s="32"/>
      <c r="J448" s="207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206"/>
      <c r="D449" s="206"/>
      <c r="E449" s="32"/>
      <c r="F449" s="206"/>
      <c r="G449" s="32"/>
      <c r="H449" s="32"/>
      <c r="I449" s="32"/>
      <c r="J449" s="207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206"/>
      <c r="D450" s="206"/>
      <c r="E450" s="32"/>
      <c r="F450" s="206"/>
      <c r="G450" s="32"/>
      <c r="H450" s="32"/>
      <c r="I450" s="32"/>
      <c r="J450" s="207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206"/>
      <c r="D451" s="206"/>
      <c r="E451" s="32"/>
      <c r="F451" s="206"/>
      <c r="G451" s="32"/>
      <c r="H451" s="32"/>
      <c r="I451" s="32"/>
      <c r="J451" s="207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206"/>
      <c r="D452" s="206"/>
      <c r="E452" s="32"/>
      <c r="F452" s="206"/>
      <c r="G452" s="32"/>
      <c r="H452" s="32"/>
      <c r="I452" s="32"/>
      <c r="J452" s="207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206"/>
      <c r="D453" s="206"/>
      <c r="E453" s="32"/>
      <c r="F453" s="206"/>
      <c r="G453" s="32"/>
      <c r="H453" s="32"/>
      <c r="I453" s="32"/>
      <c r="J453" s="207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206"/>
      <c r="D454" s="206"/>
      <c r="E454" s="32"/>
      <c r="F454" s="206"/>
      <c r="G454" s="32"/>
      <c r="H454" s="32"/>
      <c r="I454" s="32"/>
      <c r="J454" s="207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206"/>
      <c r="D455" s="206"/>
      <c r="E455" s="32"/>
      <c r="F455" s="206"/>
      <c r="G455" s="32"/>
      <c r="H455" s="32"/>
      <c r="I455" s="32"/>
      <c r="J455" s="207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206"/>
      <c r="D456" s="206"/>
      <c r="E456" s="32"/>
      <c r="F456" s="206"/>
      <c r="G456" s="32"/>
      <c r="H456" s="32"/>
      <c r="I456" s="32"/>
      <c r="J456" s="207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206"/>
      <c r="D457" s="206"/>
      <c r="E457" s="32"/>
      <c r="F457" s="206"/>
      <c r="G457" s="32"/>
      <c r="H457" s="32"/>
      <c r="I457" s="32"/>
      <c r="J457" s="207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206"/>
      <c r="D458" s="206"/>
      <c r="E458" s="32"/>
      <c r="F458" s="206"/>
      <c r="G458" s="32"/>
      <c r="H458" s="32"/>
      <c r="I458" s="32"/>
      <c r="J458" s="207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206"/>
      <c r="D459" s="206"/>
      <c r="E459" s="32"/>
      <c r="F459" s="206"/>
      <c r="G459" s="32"/>
      <c r="H459" s="32"/>
      <c r="I459" s="32"/>
      <c r="J459" s="207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206"/>
      <c r="D460" s="206"/>
      <c r="E460" s="32"/>
      <c r="F460" s="206"/>
      <c r="G460" s="32"/>
      <c r="H460" s="32"/>
      <c r="I460" s="32"/>
      <c r="J460" s="207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206"/>
      <c r="D461" s="206"/>
      <c r="E461" s="32"/>
      <c r="F461" s="206"/>
      <c r="G461" s="32"/>
      <c r="H461" s="32"/>
      <c r="I461" s="32"/>
      <c r="J461" s="207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206"/>
      <c r="D462" s="206"/>
      <c r="E462" s="32"/>
      <c r="F462" s="206"/>
      <c r="G462" s="32"/>
      <c r="H462" s="32"/>
      <c r="I462" s="32"/>
      <c r="J462" s="207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206"/>
      <c r="D463" s="206"/>
      <c r="E463" s="32"/>
      <c r="F463" s="206"/>
      <c r="G463" s="32"/>
      <c r="H463" s="32"/>
      <c r="I463" s="32"/>
      <c r="J463" s="207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206"/>
      <c r="D464" s="206"/>
      <c r="E464" s="32"/>
      <c r="F464" s="206"/>
      <c r="G464" s="32"/>
      <c r="H464" s="32"/>
      <c r="I464" s="32"/>
      <c r="J464" s="207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206"/>
      <c r="D465" s="206"/>
      <c r="E465" s="32"/>
      <c r="F465" s="206"/>
      <c r="G465" s="32"/>
      <c r="H465" s="32"/>
      <c r="I465" s="32"/>
      <c r="J465" s="207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206"/>
      <c r="D466" s="206"/>
      <c r="E466" s="32"/>
      <c r="F466" s="206"/>
      <c r="G466" s="32"/>
      <c r="H466" s="32"/>
      <c r="I466" s="32"/>
      <c r="J466" s="207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206"/>
      <c r="D467" s="206"/>
      <c r="E467" s="32"/>
      <c r="F467" s="206"/>
      <c r="G467" s="32"/>
      <c r="H467" s="32"/>
      <c r="I467" s="32"/>
      <c r="J467" s="207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206"/>
      <c r="D468" s="206"/>
      <c r="E468" s="32"/>
      <c r="F468" s="206"/>
      <c r="G468" s="32"/>
      <c r="H468" s="32"/>
      <c r="I468" s="32"/>
      <c r="J468" s="207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206"/>
      <c r="D469" s="206"/>
      <c r="E469" s="32"/>
      <c r="F469" s="206"/>
      <c r="G469" s="32"/>
      <c r="H469" s="32"/>
      <c r="I469" s="32"/>
      <c r="J469" s="207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206"/>
      <c r="D470" s="206"/>
      <c r="E470" s="32"/>
      <c r="F470" s="206"/>
      <c r="G470" s="32"/>
      <c r="H470" s="32"/>
      <c r="I470" s="32"/>
      <c r="J470" s="207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206"/>
      <c r="D471" s="206"/>
      <c r="E471" s="32"/>
      <c r="F471" s="206"/>
      <c r="G471" s="32"/>
      <c r="H471" s="32"/>
      <c r="I471" s="32"/>
      <c r="J471" s="207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206"/>
      <c r="D472" s="206"/>
      <c r="E472" s="32"/>
      <c r="F472" s="206"/>
      <c r="G472" s="32"/>
      <c r="H472" s="32"/>
      <c r="I472" s="32"/>
      <c r="J472" s="207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206"/>
      <c r="D473" s="206"/>
      <c r="E473" s="32"/>
      <c r="F473" s="206"/>
      <c r="G473" s="32"/>
      <c r="H473" s="32"/>
      <c r="I473" s="32"/>
      <c r="J473" s="207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206"/>
      <c r="D474" s="206"/>
      <c r="E474" s="32"/>
      <c r="F474" s="206"/>
      <c r="G474" s="32"/>
      <c r="H474" s="32"/>
      <c r="I474" s="32"/>
      <c r="J474" s="207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206"/>
      <c r="D475" s="206"/>
      <c r="E475" s="32"/>
      <c r="F475" s="206"/>
      <c r="G475" s="32"/>
      <c r="H475" s="32"/>
      <c r="I475" s="32"/>
      <c r="J475" s="207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206"/>
      <c r="D476" s="206"/>
      <c r="E476" s="32"/>
      <c r="F476" s="206"/>
      <c r="G476" s="32"/>
      <c r="H476" s="32"/>
      <c r="I476" s="32"/>
      <c r="J476" s="207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206"/>
      <c r="D477" s="206"/>
      <c r="E477" s="32"/>
      <c r="F477" s="206"/>
      <c r="G477" s="32"/>
      <c r="H477" s="32"/>
      <c r="I477" s="32"/>
      <c r="J477" s="207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206"/>
      <c r="D478" s="206"/>
      <c r="E478" s="32"/>
      <c r="F478" s="206"/>
      <c r="G478" s="32"/>
      <c r="H478" s="32"/>
      <c r="I478" s="32"/>
      <c r="J478" s="207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206"/>
      <c r="D479" s="206"/>
      <c r="E479" s="32"/>
      <c r="F479" s="206"/>
      <c r="G479" s="32"/>
      <c r="H479" s="32"/>
      <c r="I479" s="32"/>
      <c r="J479" s="207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206"/>
      <c r="D480" s="206"/>
      <c r="E480" s="32"/>
      <c r="F480" s="206"/>
      <c r="G480" s="32"/>
      <c r="H480" s="32"/>
      <c r="I480" s="32"/>
      <c r="J480" s="207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206"/>
      <c r="D481" s="206"/>
      <c r="E481" s="32"/>
      <c r="F481" s="206"/>
      <c r="G481" s="32"/>
      <c r="H481" s="32"/>
      <c r="I481" s="32"/>
      <c r="J481" s="207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206"/>
      <c r="D482" s="206"/>
      <c r="E482" s="32"/>
      <c r="F482" s="206"/>
      <c r="G482" s="32"/>
      <c r="H482" s="32"/>
      <c r="I482" s="32"/>
      <c r="J482" s="207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206"/>
      <c r="D483" s="206"/>
      <c r="E483" s="32"/>
      <c r="F483" s="206"/>
      <c r="G483" s="32"/>
      <c r="H483" s="32"/>
      <c r="I483" s="32"/>
      <c r="J483" s="207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206"/>
      <c r="D484" s="206"/>
      <c r="E484" s="32"/>
      <c r="F484" s="206"/>
      <c r="G484" s="32"/>
      <c r="H484" s="32"/>
      <c r="I484" s="32"/>
      <c r="J484" s="207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206"/>
      <c r="D485" s="206"/>
      <c r="E485" s="32"/>
      <c r="F485" s="206"/>
      <c r="G485" s="32"/>
      <c r="H485" s="32"/>
      <c r="I485" s="32"/>
      <c r="J485" s="207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206"/>
      <c r="D486" s="206"/>
      <c r="E486" s="32"/>
      <c r="F486" s="206"/>
      <c r="G486" s="32"/>
      <c r="H486" s="32"/>
      <c r="I486" s="32"/>
      <c r="J486" s="207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206"/>
      <c r="D487" s="206"/>
      <c r="E487" s="32"/>
      <c r="F487" s="206"/>
      <c r="G487" s="32"/>
      <c r="H487" s="32"/>
      <c r="I487" s="32"/>
      <c r="J487" s="207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206"/>
      <c r="D488" s="206"/>
      <c r="E488" s="32"/>
      <c r="F488" s="206"/>
      <c r="G488" s="32"/>
      <c r="H488" s="32"/>
      <c r="I488" s="32"/>
      <c r="J488" s="207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206"/>
      <c r="D489" s="206"/>
      <c r="E489" s="32"/>
      <c r="F489" s="206"/>
      <c r="G489" s="32"/>
      <c r="H489" s="32"/>
      <c r="I489" s="32"/>
      <c r="J489" s="207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206"/>
      <c r="D490" s="206"/>
      <c r="E490" s="32"/>
      <c r="F490" s="206"/>
      <c r="G490" s="32"/>
      <c r="H490" s="32"/>
      <c r="I490" s="32"/>
      <c r="J490" s="207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206"/>
      <c r="D491" s="206"/>
      <c r="E491" s="32"/>
      <c r="F491" s="206"/>
      <c r="G491" s="32"/>
      <c r="H491" s="32"/>
      <c r="I491" s="32"/>
      <c r="J491" s="207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206"/>
      <c r="D492" s="206"/>
      <c r="E492" s="32"/>
      <c r="F492" s="206"/>
      <c r="G492" s="32"/>
      <c r="H492" s="32"/>
      <c r="I492" s="32"/>
      <c r="J492" s="207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206"/>
      <c r="D493" s="206"/>
      <c r="E493" s="32"/>
      <c r="F493" s="206"/>
      <c r="G493" s="32"/>
      <c r="H493" s="32"/>
      <c r="I493" s="32"/>
      <c r="J493" s="207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206"/>
      <c r="D494" s="206"/>
      <c r="E494" s="32"/>
      <c r="F494" s="206"/>
      <c r="G494" s="32"/>
      <c r="H494" s="32"/>
      <c r="I494" s="32"/>
      <c r="J494" s="207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206"/>
      <c r="D495" s="206"/>
      <c r="E495" s="32"/>
      <c r="F495" s="206"/>
      <c r="G495" s="32"/>
      <c r="H495" s="32"/>
      <c r="I495" s="32"/>
      <c r="J495" s="207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206"/>
      <c r="D496" s="206"/>
      <c r="E496" s="32"/>
      <c r="F496" s="206"/>
      <c r="G496" s="32"/>
      <c r="H496" s="32"/>
      <c r="I496" s="32"/>
      <c r="J496" s="207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206"/>
      <c r="D497" s="206"/>
      <c r="E497" s="32"/>
      <c r="F497" s="206"/>
      <c r="G497" s="32"/>
      <c r="H497" s="32"/>
      <c r="I497" s="32"/>
      <c r="J497" s="207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206"/>
      <c r="D498" s="206"/>
      <c r="E498" s="32"/>
      <c r="F498" s="206"/>
      <c r="G498" s="32"/>
      <c r="H498" s="32"/>
      <c r="I498" s="32"/>
      <c r="J498" s="207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206"/>
      <c r="D499" s="206"/>
      <c r="E499" s="32"/>
      <c r="F499" s="206"/>
      <c r="G499" s="32"/>
      <c r="H499" s="32"/>
      <c r="I499" s="32"/>
      <c r="J499" s="207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206"/>
      <c r="D500" s="206"/>
      <c r="E500" s="32"/>
      <c r="F500" s="206"/>
      <c r="G500" s="32"/>
      <c r="H500" s="32"/>
      <c r="I500" s="32"/>
      <c r="J500" s="207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206"/>
      <c r="D501" s="206"/>
      <c r="E501" s="32"/>
      <c r="F501" s="206"/>
      <c r="G501" s="32"/>
      <c r="H501" s="32"/>
      <c r="I501" s="32"/>
      <c r="J501" s="207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206"/>
      <c r="D502" s="206"/>
      <c r="E502" s="32"/>
      <c r="F502" s="206"/>
      <c r="G502" s="32"/>
      <c r="H502" s="32"/>
      <c r="I502" s="32"/>
      <c r="J502" s="207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206"/>
      <c r="D503" s="206"/>
      <c r="E503" s="32"/>
      <c r="F503" s="206"/>
      <c r="G503" s="32"/>
      <c r="H503" s="32"/>
      <c r="I503" s="32"/>
      <c r="J503" s="207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206"/>
      <c r="D504" s="206"/>
      <c r="E504" s="32"/>
      <c r="F504" s="206"/>
      <c r="G504" s="32"/>
      <c r="H504" s="32"/>
      <c r="I504" s="32"/>
      <c r="J504" s="207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206"/>
      <c r="D505" s="206"/>
      <c r="E505" s="32"/>
      <c r="F505" s="206"/>
      <c r="G505" s="32"/>
      <c r="H505" s="32"/>
      <c r="I505" s="32"/>
      <c r="J505" s="207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206"/>
      <c r="D506" s="206"/>
      <c r="E506" s="32"/>
      <c r="F506" s="206"/>
      <c r="G506" s="32"/>
      <c r="H506" s="32"/>
      <c r="I506" s="32"/>
      <c r="J506" s="207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206"/>
      <c r="D507" s="206"/>
      <c r="E507" s="32"/>
      <c r="F507" s="206"/>
      <c r="G507" s="32"/>
      <c r="H507" s="32"/>
      <c r="I507" s="32"/>
      <c r="J507" s="207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206"/>
      <c r="D508" s="206"/>
      <c r="E508" s="32"/>
      <c r="F508" s="206"/>
      <c r="G508" s="32"/>
      <c r="H508" s="32"/>
      <c r="I508" s="32"/>
      <c r="J508" s="207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206"/>
      <c r="D509" s="206"/>
      <c r="E509" s="32"/>
      <c r="F509" s="206"/>
      <c r="G509" s="32"/>
      <c r="H509" s="32"/>
      <c r="I509" s="32"/>
      <c r="J509" s="207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206"/>
      <c r="D510" s="206"/>
      <c r="E510" s="32"/>
      <c r="F510" s="206"/>
      <c r="G510" s="32"/>
      <c r="H510" s="32"/>
      <c r="I510" s="32"/>
      <c r="J510" s="207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206"/>
      <c r="D511" s="206"/>
      <c r="E511" s="32"/>
      <c r="F511" s="206"/>
      <c r="G511" s="32"/>
      <c r="H511" s="32"/>
      <c r="I511" s="32"/>
      <c r="J511" s="207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206"/>
      <c r="D512" s="206"/>
      <c r="E512" s="32"/>
      <c r="F512" s="206"/>
      <c r="G512" s="32"/>
      <c r="H512" s="32"/>
      <c r="I512" s="32"/>
      <c r="J512" s="207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206"/>
      <c r="D513" s="206"/>
      <c r="E513" s="32"/>
      <c r="F513" s="206"/>
      <c r="G513" s="32"/>
      <c r="H513" s="32"/>
      <c r="I513" s="32"/>
      <c r="J513" s="207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206"/>
      <c r="D514" s="206"/>
      <c r="E514" s="32"/>
      <c r="F514" s="206"/>
      <c r="G514" s="32"/>
      <c r="H514" s="32"/>
      <c r="I514" s="32"/>
      <c r="J514" s="207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206"/>
      <c r="D515" s="206"/>
      <c r="E515" s="32"/>
      <c r="F515" s="206"/>
      <c r="G515" s="32"/>
      <c r="H515" s="32"/>
      <c r="I515" s="32"/>
      <c r="J515" s="207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206"/>
      <c r="D516" s="206"/>
      <c r="E516" s="32"/>
      <c r="F516" s="206"/>
      <c r="G516" s="32"/>
      <c r="H516" s="32"/>
      <c r="I516" s="32"/>
      <c r="J516" s="207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206"/>
      <c r="D517" s="206"/>
      <c r="E517" s="32"/>
      <c r="F517" s="206"/>
      <c r="G517" s="32"/>
      <c r="H517" s="32"/>
      <c r="I517" s="32"/>
      <c r="J517" s="207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206"/>
      <c r="D518" s="206"/>
      <c r="E518" s="32"/>
      <c r="F518" s="206"/>
      <c r="G518" s="32"/>
      <c r="H518" s="32"/>
      <c r="I518" s="32"/>
      <c r="J518" s="207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206"/>
      <c r="D519" s="206"/>
      <c r="E519" s="32"/>
      <c r="F519" s="206"/>
      <c r="G519" s="32"/>
      <c r="H519" s="32"/>
      <c r="I519" s="32"/>
      <c r="J519" s="207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206"/>
      <c r="D520" s="206"/>
      <c r="E520" s="32"/>
      <c r="F520" s="206"/>
      <c r="G520" s="32"/>
      <c r="H520" s="32"/>
      <c r="I520" s="32"/>
      <c r="J520" s="207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206"/>
      <c r="D521" s="206"/>
      <c r="E521" s="32"/>
      <c r="F521" s="206"/>
      <c r="G521" s="32"/>
      <c r="H521" s="32"/>
      <c r="I521" s="32"/>
      <c r="J521" s="207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206"/>
      <c r="D522" s="206"/>
      <c r="E522" s="32"/>
      <c r="F522" s="206"/>
      <c r="G522" s="32"/>
      <c r="H522" s="32"/>
      <c r="I522" s="32"/>
      <c r="J522" s="207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206"/>
      <c r="D523" s="206"/>
      <c r="E523" s="32"/>
      <c r="F523" s="206"/>
      <c r="G523" s="32"/>
      <c r="H523" s="32"/>
      <c r="I523" s="32"/>
      <c r="J523" s="207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206"/>
      <c r="D524" s="206"/>
      <c r="E524" s="32"/>
      <c r="F524" s="206"/>
      <c r="G524" s="32"/>
      <c r="H524" s="32"/>
      <c r="I524" s="32"/>
      <c r="J524" s="207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206"/>
      <c r="D525" s="206"/>
      <c r="E525" s="32"/>
      <c r="F525" s="206"/>
      <c r="G525" s="32"/>
      <c r="H525" s="32"/>
      <c r="I525" s="32"/>
      <c r="J525" s="207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206"/>
      <c r="D526" s="206"/>
      <c r="E526" s="32"/>
      <c r="F526" s="206"/>
      <c r="G526" s="32"/>
      <c r="H526" s="32"/>
      <c r="I526" s="32"/>
      <c r="J526" s="207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206"/>
      <c r="D527" s="206"/>
      <c r="E527" s="32"/>
      <c r="F527" s="206"/>
      <c r="G527" s="32"/>
      <c r="H527" s="32"/>
      <c r="I527" s="32"/>
      <c r="J527" s="207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206"/>
      <c r="D528" s="206"/>
      <c r="E528" s="32"/>
      <c r="F528" s="206"/>
      <c r="G528" s="32"/>
      <c r="H528" s="32"/>
      <c r="I528" s="32"/>
      <c r="J528" s="207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206"/>
      <c r="D529" s="206"/>
      <c r="E529" s="32"/>
      <c r="F529" s="206"/>
      <c r="G529" s="32"/>
      <c r="H529" s="32"/>
      <c r="I529" s="32"/>
      <c r="J529" s="207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206"/>
      <c r="D530" s="206"/>
      <c r="E530" s="32"/>
      <c r="F530" s="206"/>
      <c r="G530" s="32"/>
      <c r="H530" s="32"/>
      <c r="I530" s="32"/>
      <c r="J530" s="207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206"/>
      <c r="D531" s="206"/>
      <c r="E531" s="32"/>
      <c r="F531" s="206"/>
      <c r="G531" s="32"/>
      <c r="H531" s="32"/>
      <c r="I531" s="32"/>
      <c r="J531" s="207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206"/>
      <c r="D532" s="206"/>
      <c r="E532" s="32"/>
      <c r="F532" s="206"/>
      <c r="G532" s="32"/>
      <c r="H532" s="32"/>
      <c r="I532" s="32"/>
      <c r="J532" s="207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206"/>
      <c r="D533" s="206"/>
      <c r="E533" s="32"/>
      <c r="F533" s="206"/>
      <c r="G533" s="32"/>
      <c r="H533" s="32"/>
      <c r="I533" s="32"/>
      <c r="J533" s="207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206"/>
      <c r="D534" s="206"/>
      <c r="E534" s="32"/>
      <c r="F534" s="206"/>
      <c r="G534" s="32"/>
      <c r="H534" s="32"/>
      <c r="I534" s="32"/>
      <c r="J534" s="207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206"/>
      <c r="D535" s="206"/>
      <c r="E535" s="32"/>
      <c r="F535" s="206"/>
      <c r="G535" s="32"/>
      <c r="H535" s="32"/>
      <c r="I535" s="32"/>
      <c r="J535" s="207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206"/>
      <c r="D536" s="206"/>
      <c r="E536" s="32"/>
      <c r="F536" s="206"/>
      <c r="G536" s="32"/>
      <c r="H536" s="32"/>
      <c r="I536" s="32"/>
      <c r="J536" s="207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206"/>
      <c r="D537" s="206"/>
      <c r="E537" s="32"/>
      <c r="F537" s="206"/>
      <c r="G537" s="32"/>
      <c r="H537" s="32"/>
      <c r="I537" s="32"/>
      <c r="J537" s="207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206"/>
      <c r="D538" s="206"/>
      <c r="E538" s="32"/>
      <c r="F538" s="206"/>
      <c r="G538" s="32"/>
      <c r="H538" s="32"/>
      <c r="I538" s="32"/>
      <c r="J538" s="207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206"/>
      <c r="D539" s="206"/>
      <c r="E539" s="32"/>
      <c r="F539" s="206"/>
      <c r="G539" s="32"/>
      <c r="H539" s="32"/>
      <c r="I539" s="32"/>
      <c r="J539" s="207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206"/>
      <c r="D540" s="206"/>
      <c r="E540" s="32"/>
      <c r="F540" s="206"/>
      <c r="G540" s="32"/>
      <c r="H540" s="32"/>
      <c r="I540" s="32"/>
      <c r="J540" s="207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206"/>
      <c r="D541" s="206"/>
      <c r="E541" s="32"/>
      <c r="F541" s="206"/>
      <c r="G541" s="32"/>
      <c r="H541" s="32"/>
      <c r="I541" s="32"/>
      <c r="J541" s="207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206"/>
      <c r="D542" s="206"/>
      <c r="E542" s="32"/>
      <c r="F542" s="206"/>
      <c r="G542" s="32"/>
      <c r="H542" s="32"/>
      <c r="I542" s="32"/>
      <c r="J542" s="207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206"/>
      <c r="D543" s="206"/>
      <c r="E543" s="32"/>
      <c r="F543" s="206"/>
      <c r="G543" s="32"/>
      <c r="H543" s="32"/>
      <c r="I543" s="32"/>
      <c r="J543" s="207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206"/>
      <c r="D544" s="206"/>
      <c r="E544" s="32"/>
      <c r="F544" s="206"/>
      <c r="G544" s="32"/>
      <c r="H544" s="32"/>
      <c r="I544" s="32"/>
      <c r="J544" s="207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206"/>
      <c r="D545" s="206"/>
      <c r="E545" s="32"/>
      <c r="F545" s="206"/>
      <c r="G545" s="32"/>
      <c r="H545" s="32"/>
      <c r="I545" s="32"/>
      <c r="J545" s="207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206"/>
      <c r="D546" s="206"/>
      <c r="E546" s="32"/>
      <c r="F546" s="206"/>
      <c r="G546" s="32"/>
      <c r="H546" s="32"/>
      <c r="I546" s="32"/>
      <c r="J546" s="207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206"/>
      <c r="D547" s="206"/>
      <c r="E547" s="32"/>
      <c r="F547" s="206"/>
      <c r="G547" s="32"/>
      <c r="H547" s="32"/>
      <c r="I547" s="32"/>
      <c r="J547" s="207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206"/>
      <c r="D548" s="206"/>
      <c r="E548" s="32"/>
      <c r="F548" s="206"/>
      <c r="G548" s="32"/>
      <c r="H548" s="32"/>
      <c r="I548" s="32"/>
      <c r="J548" s="207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206"/>
      <c r="D549" s="206"/>
      <c r="E549" s="32"/>
      <c r="F549" s="206"/>
      <c r="G549" s="32"/>
      <c r="H549" s="32"/>
      <c r="I549" s="32"/>
      <c r="J549" s="207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206"/>
      <c r="D550" s="206"/>
      <c r="E550" s="32"/>
      <c r="F550" s="206"/>
      <c r="G550" s="32"/>
      <c r="H550" s="32"/>
      <c r="I550" s="32"/>
      <c r="J550" s="207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206"/>
      <c r="D551" s="206"/>
      <c r="E551" s="32"/>
      <c r="F551" s="206"/>
      <c r="G551" s="32"/>
      <c r="H551" s="32"/>
      <c r="I551" s="32"/>
      <c r="J551" s="207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206"/>
      <c r="D552" s="206"/>
      <c r="E552" s="32"/>
      <c r="F552" s="206"/>
      <c r="G552" s="32"/>
      <c r="H552" s="32"/>
      <c r="I552" s="32"/>
      <c r="J552" s="207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206"/>
      <c r="D553" s="206"/>
      <c r="E553" s="32"/>
      <c r="F553" s="206"/>
      <c r="G553" s="32"/>
      <c r="H553" s="32"/>
      <c r="I553" s="32"/>
      <c r="J553" s="207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206"/>
      <c r="D554" s="206"/>
      <c r="E554" s="32"/>
      <c r="F554" s="206"/>
      <c r="G554" s="32"/>
      <c r="H554" s="32"/>
      <c r="I554" s="32"/>
      <c r="J554" s="207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206"/>
      <c r="D555" s="206"/>
      <c r="E555" s="32"/>
      <c r="F555" s="206"/>
      <c r="G555" s="32"/>
      <c r="H555" s="32"/>
      <c r="I555" s="32"/>
      <c r="J555" s="207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206"/>
      <c r="D556" s="206"/>
      <c r="E556" s="32"/>
      <c r="F556" s="206"/>
      <c r="G556" s="32"/>
      <c r="H556" s="32"/>
      <c r="I556" s="32"/>
      <c r="J556" s="207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206"/>
      <c r="D557" s="206"/>
      <c r="E557" s="32"/>
      <c r="F557" s="206"/>
      <c r="G557" s="32"/>
      <c r="H557" s="32"/>
      <c r="I557" s="32"/>
      <c r="J557" s="207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206"/>
      <c r="D558" s="206"/>
      <c r="E558" s="32"/>
      <c r="F558" s="206"/>
      <c r="G558" s="32"/>
      <c r="H558" s="32"/>
      <c r="I558" s="32"/>
      <c r="J558" s="207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206"/>
      <c r="D559" s="206"/>
      <c r="E559" s="32"/>
      <c r="F559" s="206"/>
      <c r="G559" s="32"/>
      <c r="H559" s="32"/>
      <c r="I559" s="32"/>
      <c r="J559" s="207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206"/>
      <c r="D560" s="206"/>
      <c r="E560" s="32"/>
      <c r="F560" s="206"/>
      <c r="G560" s="32"/>
      <c r="H560" s="32"/>
      <c r="I560" s="32"/>
      <c r="J560" s="207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206"/>
      <c r="D561" s="206"/>
      <c r="E561" s="32"/>
      <c r="F561" s="206"/>
      <c r="G561" s="32"/>
      <c r="H561" s="32"/>
      <c r="I561" s="32"/>
      <c r="J561" s="207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206"/>
      <c r="D562" s="206"/>
      <c r="E562" s="32"/>
      <c r="F562" s="206"/>
      <c r="G562" s="32"/>
      <c r="H562" s="32"/>
      <c r="I562" s="32"/>
      <c r="J562" s="207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206"/>
      <c r="D563" s="206"/>
      <c r="E563" s="32"/>
      <c r="F563" s="206"/>
      <c r="G563" s="32"/>
      <c r="H563" s="32"/>
      <c r="I563" s="32"/>
      <c r="J563" s="207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206"/>
      <c r="D564" s="206"/>
      <c r="E564" s="32"/>
      <c r="F564" s="206"/>
      <c r="G564" s="32"/>
      <c r="H564" s="32"/>
      <c r="I564" s="32"/>
      <c r="J564" s="207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206"/>
      <c r="D565" s="206"/>
      <c r="E565" s="32"/>
      <c r="F565" s="206"/>
      <c r="G565" s="32"/>
      <c r="H565" s="32"/>
      <c r="I565" s="32"/>
      <c r="J565" s="207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206"/>
      <c r="D566" s="206"/>
      <c r="E566" s="32"/>
      <c r="F566" s="206"/>
      <c r="G566" s="32"/>
      <c r="H566" s="32"/>
      <c r="I566" s="32"/>
      <c r="J566" s="207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206"/>
      <c r="D567" s="206"/>
      <c r="E567" s="32"/>
      <c r="F567" s="206"/>
      <c r="G567" s="32"/>
      <c r="H567" s="32"/>
      <c r="I567" s="32"/>
      <c r="J567" s="207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206"/>
      <c r="D568" s="206"/>
      <c r="E568" s="32"/>
      <c r="F568" s="206"/>
      <c r="G568" s="32"/>
      <c r="H568" s="32"/>
      <c r="I568" s="32"/>
      <c r="J568" s="207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206"/>
      <c r="D569" s="206"/>
      <c r="E569" s="32"/>
      <c r="F569" s="206"/>
      <c r="G569" s="32"/>
      <c r="H569" s="32"/>
      <c r="I569" s="32"/>
      <c r="J569" s="207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206"/>
      <c r="D570" s="206"/>
      <c r="E570" s="32"/>
      <c r="F570" s="206"/>
      <c r="G570" s="32"/>
      <c r="H570" s="32"/>
      <c r="I570" s="32"/>
      <c r="J570" s="207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206"/>
      <c r="D571" s="206"/>
      <c r="E571" s="32"/>
      <c r="F571" s="206"/>
      <c r="G571" s="32"/>
      <c r="H571" s="32"/>
      <c r="I571" s="32"/>
      <c r="J571" s="207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206"/>
      <c r="D572" s="206"/>
      <c r="E572" s="32"/>
      <c r="F572" s="206"/>
      <c r="G572" s="32"/>
      <c r="H572" s="32"/>
      <c r="I572" s="32"/>
      <c r="J572" s="207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206"/>
      <c r="D573" s="206"/>
      <c r="E573" s="32"/>
      <c r="F573" s="206"/>
      <c r="G573" s="32"/>
      <c r="H573" s="32"/>
      <c r="I573" s="32"/>
      <c r="J573" s="207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206"/>
      <c r="D574" s="206"/>
      <c r="E574" s="32"/>
      <c r="F574" s="206"/>
      <c r="G574" s="32"/>
      <c r="H574" s="32"/>
      <c r="I574" s="32"/>
      <c r="J574" s="207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206"/>
      <c r="D575" s="206"/>
      <c r="E575" s="32"/>
      <c r="F575" s="206"/>
      <c r="G575" s="32"/>
      <c r="H575" s="32"/>
      <c r="I575" s="32"/>
      <c r="J575" s="207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206"/>
      <c r="D576" s="206"/>
      <c r="E576" s="32"/>
      <c r="F576" s="206"/>
      <c r="G576" s="32"/>
      <c r="H576" s="32"/>
      <c r="I576" s="32"/>
      <c r="J576" s="207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206"/>
      <c r="D577" s="206"/>
      <c r="E577" s="32"/>
      <c r="F577" s="206"/>
      <c r="G577" s="32"/>
      <c r="H577" s="32"/>
      <c r="I577" s="32"/>
      <c r="J577" s="207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206"/>
      <c r="D578" s="206"/>
      <c r="E578" s="32"/>
      <c r="F578" s="206"/>
      <c r="G578" s="32"/>
      <c r="H578" s="32"/>
      <c r="I578" s="32"/>
      <c r="J578" s="207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206"/>
      <c r="D579" s="206"/>
      <c r="E579" s="32"/>
      <c r="F579" s="206"/>
      <c r="G579" s="32"/>
      <c r="H579" s="32"/>
      <c r="I579" s="32"/>
      <c r="J579" s="207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206"/>
      <c r="D580" s="206"/>
      <c r="E580" s="32"/>
      <c r="F580" s="206"/>
      <c r="G580" s="32"/>
      <c r="H580" s="32"/>
      <c r="I580" s="32"/>
      <c r="J580" s="207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206"/>
      <c r="D581" s="206"/>
      <c r="E581" s="32"/>
      <c r="F581" s="206"/>
      <c r="G581" s="32"/>
      <c r="H581" s="32"/>
      <c r="I581" s="32"/>
      <c r="J581" s="207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206"/>
      <c r="D582" s="206"/>
      <c r="E582" s="32"/>
      <c r="F582" s="206"/>
      <c r="G582" s="32"/>
      <c r="H582" s="32"/>
      <c r="I582" s="32"/>
      <c r="J582" s="207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206"/>
      <c r="D583" s="206"/>
      <c r="E583" s="32"/>
      <c r="F583" s="206"/>
      <c r="G583" s="32"/>
      <c r="H583" s="32"/>
      <c r="I583" s="32"/>
      <c r="J583" s="207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206"/>
      <c r="D584" s="206"/>
      <c r="E584" s="32"/>
      <c r="F584" s="206"/>
      <c r="G584" s="32"/>
      <c r="H584" s="32"/>
      <c r="I584" s="32"/>
      <c r="J584" s="207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206"/>
      <c r="D585" s="206"/>
      <c r="E585" s="32"/>
      <c r="F585" s="206"/>
      <c r="G585" s="32"/>
      <c r="H585" s="32"/>
      <c r="I585" s="32"/>
      <c r="J585" s="207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206"/>
      <c r="D586" s="206"/>
      <c r="E586" s="32"/>
      <c r="F586" s="206"/>
      <c r="G586" s="32"/>
      <c r="H586" s="32"/>
      <c r="I586" s="32"/>
      <c r="J586" s="207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206"/>
      <c r="D587" s="206"/>
      <c r="E587" s="32"/>
      <c r="F587" s="206"/>
      <c r="G587" s="32"/>
      <c r="H587" s="32"/>
      <c r="I587" s="32"/>
      <c r="J587" s="207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206"/>
      <c r="D588" s="206"/>
      <c r="E588" s="32"/>
      <c r="F588" s="206"/>
      <c r="G588" s="32"/>
      <c r="H588" s="32"/>
      <c r="I588" s="32"/>
      <c r="J588" s="207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206"/>
      <c r="D589" s="206"/>
      <c r="E589" s="32"/>
      <c r="F589" s="206"/>
      <c r="G589" s="32"/>
      <c r="H589" s="32"/>
      <c r="I589" s="32"/>
      <c r="J589" s="207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206"/>
      <c r="D590" s="206"/>
      <c r="E590" s="32"/>
      <c r="F590" s="206"/>
      <c r="G590" s="32"/>
      <c r="H590" s="32"/>
      <c r="I590" s="32"/>
      <c r="J590" s="207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206"/>
      <c r="D591" s="206"/>
      <c r="E591" s="32"/>
      <c r="F591" s="206"/>
      <c r="G591" s="32"/>
      <c r="H591" s="32"/>
      <c r="I591" s="32"/>
      <c r="J591" s="207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206"/>
      <c r="D592" s="206"/>
      <c r="E592" s="32"/>
      <c r="F592" s="206"/>
      <c r="G592" s="32"/>
      <c r="H592" s="32"/>
      <c r="I592" s="32"/>
      <c r="J592" s="207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206"/>
      <c r="D593" s="206"/>
      <c r="E593" s="32"/>
      <c r="F593" s="206"/>
      <c r="G593" s="32"/>
      <c r="H593" s="32"/>
      <c r="I593" s="32"/>
      <c r="J593" s="207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206"/>
      <c r="D594" s="206"/>
      <c r="E594" s="32"/>
      <c r="F594" s="206"/>
      <c r="G594" s="32"/>
      <c r="H594" s="32"/>
      <c r="I594" s="32"/>
      <c r="J594" s="207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206"/>
      <c r="D595" s="206"/>
      <c r="E595" s="32"/>
      <c r="F595" s="206"/>
      <c r="G595" s="32"/>
      <c r="H595" s="32"/>
      <c r="I595" s="32"/>
      <c r="J595" s="207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206"/>
      <c r="D596" s="206"/>
      <c r="E596" s="32"/>
      <c r="F596" s="206"/>
      <c r="G596" s="32"/>
      <c r="H596" s="32"/>
      <c r="I596" s="32"/>
      <c r="J596" s="207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206"/>
      <c r="D597" s="206"/>
      <c r="E597" s="32"/>
      <c r="F597" s="206"/>
      <c r="G597" s="32"/>
      <c r="H597" s="32"/>
      <c r="I597" s="32"/>
      <c r="J597" s="207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206"/>
      <c r="D598" s="206"/>
      <c r="E598" s="32"/>
      <c r="F598" s="206"/>
      <c r="G598" s="32"/>
      <c r="H598" s="32"/>
      <c r="I598" s="32"/>
      <c r="J598" s="207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206"/>
      <c r="D599" s="206"/>
      <c r="E599" s="32"/>
      <c r="F599" s="206"/>
      <c r="G599" s="32"/>
      <c r="H599" s="32"/>
      <c r="I599" s="32"/>
      <c r="J599" s="207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206"/>
      <c r="D600" s="206"/>
      <c r="E600" s="32"/>
      <c r="F600" s="206"/>
      <c r="G600" s="32"/>
      <c r="H600" s="32"/>
      <c r="I600" s="32"/>
      <c r="J600" s="207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206"/>
      <c r="D601" s="206"/>
      <c r="E601" s="32"/>
      <c r="F601" s="206"/>
      <c r="G601" s="32"/>
      <c r="H601" s="32"/>
      <c r="I601" s="32"/>
      <c r="J601" s="207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206"/>
      <c r="D602" s="206"/>
      <c r="E602" s="32"/>
      <c r="F602" s="206"/>
      <c r="G602" s="32"/>
      <c r="H602" s="32"/>
      <c r="I602" s="32"/>
      <c r="J602" s="207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206"/>
      <c r="D603" s="206"/>
      <c r="E603" s="32"/>
      <c r="F603" s="206"/>
      <c r="G603" s="32"/>
      <c r="H603" s="32"/>
      <c r="I603" s="32"/>
      <c r="J603" s="207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206"/>
      <c r="D604" s="206"/>
      <c r="E604" s="32"/>
      <c r="F604" s="206"/>
      <c r="G604" s="32"/>
      <c r="H604" s="32"/>
      <c r="I604" s="32"/>
      <c r="J604" s="207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206"/>
      <c r="D605" s="206"/>
      <c r="E605" s="32"/>
      <c r="F605" s="206"/>
      <c r="G605" s="32"/>
      <c r="H605" s="32"/>
      <c r="I605" s="32"/>
      <c r="J605" s="207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206"/>
      <c r="D606" s="206"/>
      <c r="E606" s="32"/>
      <c r="F606" s="206"/>
      <c r="G606" s="32"/>
      <c r="H606" s="32"/>
      <c r="I606" s="32"/>
      <c r="J606" s="207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206"/>
      <c r="D607" s="206"/>
      <c r="E607" s="32"/>
      <c r="F607" s="206"/>
      <c r="G607" s="32"/>
      <c r="H607" s="32"/>
      <c r="I607" s="32"/>
      <c r="J607" s="207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206"/>
      <c r="D608" s="206"/>
      <c r="E608" s="32"/>
      <c r="F608" s="206"/>
      <c r="G608" s="32"/>
      <c r="H608" s="32"/>
      <c r="I608" s="32"/>
      <c r="J608" s="207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206"/>
      <c r="D609" s="206"/>
      <c r="E609" s="32"/>
      <c r="F609" s="206"/>
      <c r="G609" s="32"/>
      <c r="H609" s="32"/>
      <c r="I609" s="32"/>
      <c r="J609" s="207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206"/>
      <c r="D610" s="206"/>
      <c r="E610" s="32"/>
      <c r="F610" s="206"/>
      <c r="G610" s="32"/>
      <c r="H610" s="32"/>
      <c r="I610" s="32"/>
      <c r="J610" s="207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206"/>
      <c r="D611" s="206"/>
      <c r="E611" s="32"/>
      <c r="F611" s="206"/>
      <c r="G611" s="32"/>
      <c r="H611" s="32"/>
      <c r="I611" s="32"/>
      <c r="J611" s="207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206"/>
      <c r="D612" s="206"/>
      <c r="E612" s="32"/>
      <c r="F612" s="206"/>
      <c r="G612" s="32"/>
      <c r="H612" s="32"/>
      <c r="I612" s="32"/>
      <c r="J612" s="207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206"/>
      <c r="D613" s="206"/>
      <c r="E613" s="32"/>
      <c r="F613" s="206"/>
      <c r="G613" s="32"/>
      <c r="H613" s="32"/>
      <c r="I613" s="32"/>
      <c r="J613" s="207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206"/>
      <c r="D614" s="206"/>
      <c r="E614" s="32"/>
      <c r="F614" s="206"/>
      <c r="G614" s="32"/>
      <c r="H614" s="32"/>
      <c r="I614" s="32"/>
      <c r="J614" s="207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206"/>
      <c r="D615" s="206"/>
      <c r="E615" s="32"/>
      <c r="F615" s="206"/>
      <c r="G615" s="32"/>
      <c r="H615" s="32"/>
      <c r="I615" s="32"/>
      <c r="J615" s="207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206"/>
      <c r="D616" s="206"/>
      <c r="E616" s="32"/>
      <c r="F616" s="206"/>
      <c r="G616" s="32"/>
      <c r="H616" s="32"/>
      <c r="I616" s="32"/>
      <c r="J616" s="207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206"/>
      <c r="D617" s="206"/>
      <c r="E617" s="32"/>
      <c r="F617" s="206"/>
      <c r="G617" s="32"/>
      <c r="H617" s="32"/>
      <c r="I617" s="32"/>
      <c r="J617" s="207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206"/>
      <c r="D618" s="206"/>
      <c r="E618" s="32"/>
      <c r="F618" s="206"/>
      <c r="G618" s="32"/>
      <c r="H618" s="32"/>
      <c r="I618" s="32"/>
      <c r="J618" s="207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206"/>
      <c r="D619" s="206"/>
      <c r="E619" s="32"/>
      <c r="F619" s="206"/>
      <c r="G619" s="32"/>
      <c r="H619" s="32"/>
      <c r="I619" s="32"/>
      <c r="J619" s="207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206"/>
      <c r="D620" s="206"/>
      <c r="E620" s="32"/>
      <c r="F620" s="206"/>
      <c r="G620" s="32"/>
      <c r="H620" s="32"/>
      <c r="I620" s="32"/>
      <c r="J620" s="207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206"/>
      <c r="D621" s="206"/>
      <c r="E621" s="32"/>
      <c r="F621" s="206"/>
      <c r="G621" s="32"/>
      <c r="H621" s="32"/>
      <c r="I621" s="32"/>
      <c r="J621" s="207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206"/>
      <c r="D622" s="206"/>
      <c r="E622" s="32"/>
      <c r="F622" s="206"/>
      <c r="G622" s="32"/>
      <c r="H622" s="32"/>
      <c r="I622" s="32"/>
      <c r="J622" s="207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206"/>
      <c r="D623" s="206"/>
      <c r="E623" s="32"/>
      <c r="F623" s="206"/>
      <c r="G623" s="32"/>
      <c r="H623" s="32"/>
      <c r="I623" s="32"/>
      <c r="J623" s="207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206"/>
      <c r="D624" s="206"/>
      <c r="E624" s="32"/>
      <c r="F624" s="206"/>
      <c r="G624" s="32"/>
      <c r="H624" s="32"/>
      <c r="I624" s="32"/>
      <c r="J624" s="207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206"/>
      <c r="D625" s="206"/>
      <c r="E625" s="32"/>
      <c r="F625" s="206"/>
      <c r="G625" s="32"/>
      <c r="H625" s="32"/>
      <c r="I625" s="32"/>
      <c r="J625" s="207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206"/>
      <c r="D626" s="206"/>
      <c r="E626" s="32"/>
      <c r="F626" s="206"/>
      <c r="G626" s="32"/>
      <c r="H626" s="32"/>
      <c r="I626" s="32"/>
      <c r="J626" s="207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206"/>
      <c r="D627" s="206"/>
      <c r="E627" s="32"/>
      <c r="F627" s="206"/>
      <c r="G627" s="32"/>
      <c r="H627" s="32"/>
      <c r="I627" s="32"/>
      <c r="J627" s="207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206"/>
      <c r="D628" s="206"/>
      <c r="E628" s="32"/>
      <c r="F628" s="206"/>
      <c r="G628" s="32"/>
      <c r="H628" s="32"/>
      <c r="I628" s="32"/>
      <c r="J628" s="207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206"/>
      <c r="D629" s="206"/>
      <c r="E629" s="32"/>
      <c r="F629" s="206"/>
      <c r="G629" s="32"/>
      <c r="H629" s="32"/>
      <c r="I629" s="32"/>
      <c r="J629" s="207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206"/>
      <c r="D630" s="206"/>
      <c r="E630" s="32"/>
      <c r="F630" s="206"/>
      <c r="G630" s="32"/>
      <c r="H630" s="32"/>
      <c r="I630" s="32"/>
      <c r="J630" s="207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206"/>
      <c r="D631" s="206"/>
      <c r="E631" s="32"/>
      <c r="F631" s="206"/>
      <c r="G631" s="32"/>
      <c r="H631" s="32"/>
      <c r="I631" s="32"/>
      <c r="J631" s="207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206"/>
      <c r="D632" s="206"/>
      <c r="E632" s="32"/>
      <c r="F632" s="206"/>
      <c r="G632" s="32"/>
      <c r="H632" s="32"/>
      <c r="I632" s="32"/>
      <c r="J632" s="207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206"/>
      <c r="D633" s="206"/>
      <c r="E633" s="32"/>
      <c r="F633" s="206"/>
      <c r="G633" s="32"/>
      <c r="H633" s="32"/>
      <c r="I633" s="32"/>
      <c r="J633" s="207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206"/>
      <c r="D634" s="206"/>
      <c r="E634" s="32"/>
      <c r="F634" s="206"/>
      <c r="G634" s="32"/>
      <c r="H634" s="32"/>
      <c r="I634" s="32"/>
      <c r="J634" s="207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206"/>
      <c r="D635" s="206"/>
      <c r="E635" s="32"/>
      <c r="F635" s="206"/>
      <c r="G635" s="32"/>
      <c r="H635" s="32"/>
      <c r="I635" s="32"/>
      <c r="J635" s="207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206"/>
      <c r="D636" s="206"/>
      <c r="E636" s="32"/>
      <c r="F636" s="206"/>
      <c r="G636" s="32"/>
      <c r="H636" s="32"/>
      <c r="I636" s="32"/>
      <c r="J636" s="207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206"/>
      <c r="D637" s="206"/>
      <c r="E637" s="32"/>
      <c r="F637" s="206"/>
      <c r="G637" s="32"/>
      <c r="H637" s="32"/>
      <c r="I637" s="32"/>
      <c r="J637" s="207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206"/>
      <c r="D638" s="206"/>
      <c r="E638" s="32"/>
      <c r="F638" s="206"/>
      <c r="G638" s="32"/>
      <c r="H638" s="32"/>
      <c r="I638" s="32"/>
      <c r="J638" s="207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206"/>
      <c r="D639" s="206"/>
      <c r="E639" s="32"/>
      <c r="F639" s="206"/>
      <c r="G639" s="32"/>
      <c r="H639" s="32"/>
      <c r="I639" s="32"/>
      <c r="J639" s="207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206"/>
      <c r="D640" s="206"/>
      <c r="E640" s="32"/>
      <c r="F640" s="206"/>
      <c r="G640" s="32"/>
      <c r="H640" s="32"/>
      <c r="I640" s="32"/>
      <c r="J640" s="207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206"/>
      <c r="D641" s="206"/>
      <c r="E641" s="32"/>
      <c r="F641" s="206"/>
      <c r="G641" s="32"/>
      <c r="H641" s="32"/>
      <c r="I641" s="32"/>
      <c r="J641" s="207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206"/>
      <c r="D642" s="206"/>
      <c r="E642" s="32"/>
      <c r="F642" s="206"/>
      <c r="G642" s="32"/>
      <c r="H642" s="32"/>
      <c r="I642" s="32"/>
      <c r="J642" s="207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206"/>
      <c r="D643" s="206"/>
      <c r="E643" s="32"/>
      <c r="F643" s="206"/>
      <c r="G643" s="32"/>
      <c r="H643" s="32"/>
      <c r="I643" s="32"/>
      <c r="J643" s="207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206"/>
      <c r="D644" s="206"/>
      <c r="E644" s="32"/>
      <c r="F644" s="206"/>
      <c r="G644" s="32"/>
      <c r="H644" s="32"/>
      <c r="I644" s="32"/>
      <c r="J644" s="207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206"/>
      <c r="D645" s="206"/>
      <c r="E645" s="32"/>
      <c r="F645" s="206"/>
      <c r="G645" s="32"/>
      <c r="H645" s="32"/>
      <c r="I645" s="32"/>
      <c r="J645" s="207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206"/>
      <c r="D646" s="206"/>
      <c r="E646" s="32"/>
      <c r="F646" s="206"/>
      <c r="G646" s="32"/>
      <c r="H646" s="32"/>
      <c r="I646" s="32"/>
      <c r="J646" s="207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206"/>
      <c r="D647" s="206"/>
      <c r="E647" s="32"/>
      <c r="F647" s="206"/>
      <c r="G647" s="32"/>
      <c r="H647" s="32"/>
      <c r="I647" s="32"/>
      <c r="J647" s="207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206"/>
      <c r="D648" s="206"/>
      <c r="E648" s="32"/>
      <c r="F648" s="206"/>
      <c r="G648" s="32"/>
      <c r="H648" s="32"/>
      <c r="I648" s="32"/>
      <c r="J648" s="207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206"/>
      <c r="D649" s="206"/>
      <c r="E649" s="32"/>
      <c r="F649" s="206"/>
      <c r="G649" s="32"/>
      <c r="H649" s="32"/>
      <c r="I649" s="32"/>
      <c r="J649" s="207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206"/>
      <c r="D650" s="206"/>
      <c r="E650" s="32"/>
      <c r="F650" s="206"/>
      <c r="G650" s="32"/>
      <c r="H650" s="32"/>
      <c r="I650" s="32"/>
      <c r="J650" s="207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206"/>
      <c r="D651" s="206"/>
      <c r="E651" s="32"/>
      <c r="F651" s="206"/>
      <c r="G651" s="32"/>
      <c r="H651" s="32"/>
      <c r="I651" s="32"/>
      <c r="J651" s="207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206"/>
      <c r="D652" s="206"/>
      <c r="E652" s="32"/>
      <c r="F652" s="206"/>
      <c r="G652" s="32"/>
      <c r="H652" s="32"/>
      <c r="I652" s="32"/>
      <c r="J652" s="207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206"/>
      <c r="D653" s="206"/>
      <c r="E653" s="32"/>
      <c r="F653" s="206"/>
      <c r="G653" s="32"/>
      <c r="H653" s="32"/>
      <c r="I653" s="32"/>
      <c r="J653" s="207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206"/>
      <c r="D654" s="206"/>
      <c r="E654" s="32"/>
      <c r="F654" s="206"/>
      <c r="G654" s="32"/>
      <c r="H654" s="32"/>
      <c r="I654" s="32"/>
      <c r="J654" s="207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206"/>
      <c r="D655" s="206"/>
      <c r="E655" s="32"/>
      <c r="F655" s="206"/>
      <c r="G655" s="32"/>
      <c r="H655" s="32"/>
      <c r="I655" s="32"/>
      <c r="J655" s="207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206"/>
      <c r="D656" s="206"/>
      <c r="E656" s="32"/>
      <c r="F656" s="206"/>
      <c r="G656" s="32"/>
      <c r="H656" s="32"/>
      <c r="I656" s="32"/>
      <c r="J656" s="207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206"/>
      <c r="D657" s="206"/>
      <c r="E657" s="32"/>
      <c r="F657" s="206"/>
      <c r="G657" s="32"/>
      <c r="H657" s="32"/>
      <c r="I657" s="32"/>
      <c r="J657" s="207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206"/>
      <c r="D658" s="206"/>
      <c r="E658" s="32"/>
      <c r="F658" s="206"/>
      <c r="G658" s="32"/>
      <c r="H658" s="32"/>
      <c r="I658" s="32"/>
      <c r="J658" s="207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206"/>
      <c r="D659" s="206"/>
      <c r="E659" s="32"/>
      <c r="F659" s="206"/>
      <c r="G659" s="32"/>
      <c r="H659" s="32"/>
      <c r="I659" s="32"/>
      <c r="J659" s="207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206"/>
      <c r="D660" s="206"/>
      <c r="E660" s="32"/>
      <c r="F660" s="206"/>
      <c r="G660" s="32"/>
      <c r="H660" s="32"/>
      <c r="I660" s="32"/>
      <c r="J660" s="207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206"/>
      <c r="D661" s="206"/>
      <c r="E661" s="32"/>
      <c r="F661" s="206"/>
      <c r="G661" s="32"/>
      <c r="H661" s="32"/>
      <c r="I661" s="32"/>
      <c r="J661" s="207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206"/>
      <c r="D662" s="206"/>
      <c r="E662" s="32"/>
      <c r="F662" s="206"/>
      <c r="G662" s="32"/>
      <c r="H662" s="32"/>
      <c r="I662" s="32"/>
      <c r="J662" s="207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206"/>
      <c r="D663" s="206"/>
      <c r="E663" s="32"/>
      <c r="F663" s="206"/>
      <c r="G663" s="32"/>
      <c r="H663" s="32"/>
      <c r="I663" s="32"/>
      <c r="J663" s="207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206"/>
      <c r="D664" s="206"/>
      <c r="E664" s="32"/>
      <c r="F664" s="206"/>
      <c r="G664" s="32"/>
      <c r="H664" s="32"/>
      <c r="I664" s="32"/>
      <c r="J664" s="207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206"/>
      <c r="D665" s="206"/>
      <c r="E665" s="32"/>
      <c r="F665" s="206"/>
      <c r="G665" s="32"/>
      <c r="H665" s="32"/>
      <c r="I665" s="32"/>
      <c r="J665" s="207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206"/>
      <c r="D666" s="206"/>
      <c r="E666" s="32"/>
      <c r="F666" s="206"/>
      <c r="G666" s="32"/>
      <c r="H666" s="32"/>
      <c r="I666" s="32"/>
      <c r="J666" s="207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206"/>
      <c r="D667" s="206"/>
      <c r="E667" s="32"/>
      <c r="F667" s="206"/>
      <c r="G667" s="32"/>
      <c r="H667" s="32"/>
      <c r="I667" s="32"/>
      <c r="J667" s="207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206"/>
      <c r="D668" s="206"/>
      <c r="E668" s="32"/>
      <c r="F668" s="206"/>
      <c r="G668" s="32"/>
      <c r="H668" s="32"/>
      <c r="I668" s="32"/>
      <c r="J668" s="207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206"/>
      <c r="D669" s="206"/>
      <c r="E669" s="32"/>
      <c r="F669" s="206"/>
      <c r="G669" s="32"/>
      <c r="H669" s="32"/>
      <c r="I669" s="32"/>
      <c r="J669" s="207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206"/>
      <c r="D670" s="206"/>
      <c r="E670" s="32"/>
      <c r="F670" s="206"/>
      <c r="G670" s="32"/>
      <c r="H670" s="32"/>
      <c r="I670" s="32"/>
      <c r="J670" s="207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206"/>
      <c r="D671" s="206"/>
      <c r="E671" s="32"/>
      <c r="F671" s="206"/>
      <c r="G671" s="32"/>
      <c r="H671" s="32"/>
      <c r="I671" s="32"/>
      <c r="J671" s="207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206"/>
      <c r="D672" s="206"/>
      <c r="E672" s="32"/>
      <c r="F672" s="206"/>
      <c r="G672" s="32"/>
      <c r="H672" s="32"/>
      <c r="I672" s="32"/>
      <c r="J672" s="207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206"/>
      <c r="D673" s="206"/>
      <c r="E673" s="32"/>
      <c r="F673" s="206"/>
      <c r="G673" s="32"/>
      <c r="H673" s="32"/>
      <c r="I673" s="32"/>
      <c r="J673" s="207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206"/>
      <c r="D674" s="206"/>
      <c r="E674" s="32"/>
      <c r="F674" s="206"/>
      <c r="G674" s="32"/>
      <c r="H674" s="32"/>
      <c r="I674" s="32"/>
      <c r="J674" s="207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206"/>
      <c r="D675" s="206"/>
      <c r="E675" s="32"/>
      <c r="F675" s="206"/>
      <c r="G675" s="32"/>
      <c r="H675" s="32"/>
      <c r="I675" s="32"/>
      <c r="J675" s="207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206"/>
      <c r="D676" s="206"/>
      <c r="E676" s="32"/>
      <c r="F676" s="206"/>
      <c r="G676" s="32"/>
      <c r="H676" s="32"/>
      <c r="I676" s="32"/>
      <c r="J676" s="207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206"/>
      <c r="D677" s="206"/>
      <c r="E677" s="32"/>
      <c r="F677" s="206"/>
      <c r="G677" s="32"/>
      <c r="H677" s="32"/>
      <c r="I677" s="32"/>
      <c r="J677" s="207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206"/>
      <c r="D678" s="206"/>
      <c r="E678" s="32"/>
      <c r="F678" s="206"/>
      <c r="G678" s="32"/>
      <c r="H678" s="32"/>
      <c r="I678" s="32"/>
      <c r="J678" s="207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206"/>
      <c r="D679" s="206"/>
      <c r="E679" s="32"/>
      <c r="F679" s="206"/>
      <c r="G679" s="32"/>
      <c r="H679" s="32"/>
      <c r="I679" s="32"/>
      <c r="J679" s="207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206"/>
      <c r="D680" s="206"/>
      <c r="E680" s="32"/>
      <c r="F680" s="206"/>
      <c r="G680" s="32"/>
      <c r="H680" s="32"/>
      <c r="I680" s="32"/>
      <c r="J680" s="207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206"/>
      <c r="D681" s="206"/>
      <c r="E681" s="32"/>
      <c r="F681" s="206"/>
      <c r="G681" s="32"/>
      <c r="H681" s="32"/>
      <c r="I681" s="32"/>
      <c r="J681" s="207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206"/>
      <c r="D682" s="206"/>
      <c r="E682" s="32"/>
      <c r="F682" s="206"/>
      <c r="G682" s="32"/>
      <c r="H682" s="32"/>
      <c r="I682" s="32"/>
      <c r="J682" s="207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206"/>
      <c r="D683" s="206"/>
      <c r="E683" s="32"/>
      <c r="F683" s="206"/>
      <c r="G683" s="32"/>
      <c r="H683" s="32"/>
      <c r="I683" s="32"/>
      <c r="J683" s="207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206"/>
      <c r="D684" s="206"/>
      <c r="E684" s="32"/>
      <c r="F684" s="206"/>
      <c r="G684" s="32"/>
      <c r="H684" s="32"/>
      <c r="I684" s="32"/>
      <c r="J684" s="207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206"/>
      <c r="D685" s="206"/>
      <c r="E685" s="32"/>
      <c r="F685" s="206"/>
      <c r="G685" s="32"/>
      <c r="H685" s="32"/>
      <c r="I685" s="32"/>
      <c r="J685" s="207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206"/>
      <c r="D686" s="206"/>
      <c r="E686" s="32"/>
      <c r="F686" s="206"/>
      <c r="G686" s="32"/>
      <c r="H686" s="32"/>
      <c r="I686" s="32"/>
      <c r="J686" s="207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206"/>
      <c r="D687" s="206"/>
      <c r="E687" s="32"/>
      <c r="F687" s="206"/>
      <c r="G687" s="32"/>
      <c r="H687" s="32"/>
      <c r="I687" s="32"/>
      <c r="J687" s="207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206"/>
      <c r="D688" s="206"/>
      <c r="E688" s="32"/>
      <c r="F688" s="206"/>
      <c r="G688" s="32"/>
      <c r="H688" s="32"/>
      <c r="I688" s="32"/>
      <c r="J688" s="207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206"/>
      <c r="D689" s="206"/>
      <c r="E689" s="32"/>
      <c r="F689" s="206"/>
      <c r="G689" s="32"/>
      <c r="H689" s="32"/>
      <c r="I689" s="32"/>
      <c r="J689" s="207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206"/>
      <c r="D690" s="206"/>
      <c r="E690" s="32"/>
      <c r="F690" s="206"/>
      <c r="G690" s="32"/>
      <c r="H690" s="32"/>
      <c r="I690" s="32"/>
      <c r="J690" s="207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206"/>
      <c r="D691" s="206"/>
      <c r="E691" s="32"/>
      <c r="F691" s="206"/>
      <c r="G691" s="32"/>
      <c r="H691" s="32"/>
      <c r="I691" s="32"/>
      <c r="J691" s="207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206"/>
      <c r="D692" s="206"/>
      <c r="E692" s="32"/>
      <c r="F692" s="206"/>
      <c r="G692" s="32"/>
      <c r="H692" s="32"/>
      <c r="I692" s="32"/>
      <c r="J692" s="207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206"/>
      <c r="D693" s="206"/>
      <c r="E693" s="32"/>
      <c r="F693" s="206"/>
      <c r="G693" s="32"/>
      <c r="H693" s="32"/>
      <c r="I693" s="32"/>
      <c r="J693" s="207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206"/>
      <c r="D694" s="206"/>
      <c r="E694" s="32"/>
      <c r="F694" s="206"/>
      <c r="G694" s="32"/>
      <c r="H694" s="32"/>
      <c r="I694" s="32"/>
      <c r="J694" s="207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206"/>
      <c r="D695" s="206"/>
      <c r="E695" s="32"/>
      <c r="F695" s="206"/>
      <c r="G695" s="32"/>
      <c r="H695" s="32"/>
      <c r="I695" s="32"/>
      <c r="J695" s="207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206"/>
      <c r="D696" s="206"/>
      <c r="E696" s="32"/>
      <c r="F696" s="206"/>
      <c r="G696" s="32"/>
      <c r="H696" s="32"/>
      <c r="I696" s="32"/>
      <c r="J696" s="207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206"/>
      <c r="D697" s="206"/>
      <c r="E697" s="32"/>
      <c r="F697" s="206"/>
      <c r="G697" s="32"/>
      <c r="H697" s="32"/>
      <c r="I697" s="32"/>
      <c r="J697" s="207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206"/>
      <c r="D698" s="206"/>
      <c r="E698" s="32"/>
      <c r="F698" s="206"/>
      <c r="G698" s="32"/>
      <c r="H698" s="32"/>
      <c r="I698" s="32"/>
      <c r="J698" s="207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206"/>
      <c r="D699" s="206"/>
      <c r="E699" s="32"/>
      <c r="F699" s="206"/>
      <c r="G699" s="32"/>
      <c r="H699" s="32"/>
      <c r="I699" s="32"/>
      <c r="J699" s="207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206"/>
      <c r="D700" s="206"/>
      <c r="E700" s="32"/>
      <c r="F700" s="206"/>
      <c r="G700" s="32"/>
      <c r="H700" s="32"/>
      <c r="I700" s="32"/>
      <c r="J700" s="207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206"/>
      <c r="D701" s="206"/>
      <c r="E701" s="32"/>
      <c r="F701" s="206"/>
      <c r="G701" s="32"/>
      <c r="H701" s="32"/>
      <c r="I701" s="32"/>
      <c r="J701" s="207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206"/>
      <c r="D702" s="206"/>
      <c r="E702" s="32"/>
      <c r="F702" s="206"/>
      <c r="G702" s="32"/>
      <c r="H702" s="32"/>
      <c r="I702" s="32"/>
      <c r="J702" s="207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206"/>
      <c r="D703" s="206"/>
      <c r="E703" s="32"/>
      <c r="F703" s="206"/>
      <c r="G703" s="32"/>
      <c r="H703" s="32"/>
      <c r="I703" s="32"/>
      <c r="J703" s="207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206"/>
      <c r="D704" s="206"/>
      <c r="E704" s="32"/>
      <c r="F704" s="206"/>
      <c r="G704" s="32"/>
      <c r="H704" s="32"/>
      <c r="I704" s="32"/>
      <c r="J704" s="207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206"/>
      <c r="D705" s="206"/>
      <c r="E705" s="32"/>
      <c r="F705" s="206"/>
      <c r="G705" s="32"/>
      <c r="H705" s="32"/>
      <c r="I705" s="32"/>
      <c r="J705" s="207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206"/>
      <c r="D706" s="206"/>
      <c r="E706" s="32"/>
      <c r="F706" s="206"/>
      <c r="G706" s="32"/>
      <c r="H706" s="32"/>
      <c r="I706" s="32"/>
      <c r="J706" s="207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206"/>
      <c r="D707" s="206"/>
      <c r="E707" s="32"/>
      <c r="F707" s="206"/>
      <c r="G707" s="32"/>
      <c r="H707" s="32"/>
      <c r="I707" s="32"/>
      <c r="J707" s="207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206"/>
      <c r="D708" s="206"/>
      <c r="E708" s="32"/>
      <c r="F708" s="206"/>
      <c r="G708" s="32"/>
      <c r="H708" s="32"/>
      <c r="I708" s="32"/>
      <c r="J708" s="207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206"/>
      <c r="D709" s="206"/>
      <c r="E709" s="32"/>
      <c r="F709" s="206"/>
      <c r="G709" s="32"/>
      <c r="H709" s="32"/>
      <c r="I709" s="32"/>
      <c r="J709" s="207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206"/>
      <c r="D710" s="206"/>
      <c r="E710" s="32"/>
      <c r="F710" s="206"/>
      <c r="G710" s="32"/>
      <c r="H710" s="32"/>
      <c r="I710" s="32"/>
      <c r="J710" s="207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206"/>
      <c r="D711" s="206"/>
      <c r="E711" s="32"/>
      <c r="F711" s="206"/>
      <c r="G711" s="32"/>
      <c r="H711" s="32"/>
      <c r="I711" s="32"/>
      <c r="J711" s="207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206"/>
      <c r="D712" s="206"/>
      <c r="E712" s="32"/>
      <c r="F712" s="206"/>
      <c r="G712" s="32"/>
      <c r="H712" s="32"/>
      <c r="I712" s="32"/>
      <c r="J712" s="207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206"/>
      <c r="D713" s="206"/>
      <c r="E713" s="32"/>
      <c r="F713" s="206"/>
      <c r="G713" s="32"/>
      <c r="H713" s="32"/>
      <c r="I713" s="32"/>
      <c r="J713" s="207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206"/>
      <c r="D714" s="206"/>
      <c r="E714" s="32"/>
      <c r="F714" s="206"/>
      <c r="G714" s="32"/>
      <c r="H714" s="32"/>
      <c r="I714" s="32"/>
      <c r="J714" s="207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206"/>
      <c r="D715" s="206"/>
      <c r="E715" s="32"/>
      <c r="F715" s="206"/>
      <c r="G715" s="32"/>
      <c r="H715" s="32"/>
      <c r="I715" s="32"/>
      <c r="J715" s="207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206"/>
      <c r="D716" s="206"/>
      <c r="E716" s="32"/>
      <c r="F716" s="206"/>
      <c r="G716" s="32"/>
      <c r="H716" s="32"/>
      <c r="I716" s="32"/>
      <c r="J716" s="207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206"/>
      <c r="D717" s="206"/>
      <c r="E717" s="32"/>
      <c r="F717" s="206"/>
      <c r="G717" s="32"/>
      <c r="H717" s="32"/>
      <c r="I717" s="32"/>
      <c r="J717" s="207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206"/>
      <c r="D718" s="206"/>
      <c r="E718" s="32"/>
      <c r="F718" s="206"/>
      <c r="G718" s="32"/>
      <c r="H718" s="32"/>
      <c r="I718" s="32"/>
      <c r="J718" s="207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206"/>
      <c r="D719" s="206"/>
      <c r="E719" s="32"/>
      <c r="F719" s="206"/>
      <c r="G719" s="32"/>
      <c r="H719" s="32"/>
      <c r="I719" s="32"/>
      <c r="J719" s="207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206"/>
      <c r="D720" s="206"/>
      <c r="E720" s="32"/>
      <c r="F720" s="206"/>
      <c r="G720" s="32"/>
      <c r="H720" s="32"/>
      <c r="I720" s="32"/>
      <c r="J720" s="207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206"/>
      <c r="D721" s="206"/>
      <c r="E721" s="32"/>
      <c r="F721" s="206"/>
      <c r="G721" s="32"/>
      <c r="H721" s="32"/>
      <c r="I721" s="32"/>
      <c r="J721" s="207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206"/>
      <c r="D722" s="206"/>
      <c r="E722" s="32"/>
      <c r="F722" s="206"/>
      <c r="G722" s="32"/>
      <c r="H722" s="32"/>
      <c r="I722" s="32"/>
      <c r="J722" s="207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206"/>
      <c r="D723" s="206"/>
      <c r="E723" s="32"/>
      <c r="F723" s="206"/>
      <c r="G723" s="32"/>
      <c r="H723" s="32"/>
      <c r="I723" s="32"/>
      <c r="J723" s="207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206"/>
      <c r="D724" s="206"/>
      <c r="E724" s="32"/>
      <c r="F724" s="206"/>
      <c r="G724" s="32"/>
      <c r="H724" s="32"/>
      <c r="I724" s="32"/>
      <c r="J724" s="207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206"/>
      <c r="D725" s="206"/>
      <c r="E725" s="32"/>
      <c r="F725" s="206"/>
      <c r="G725" s="32"/>
      <c r="H725" s="32"/>
      <c r="I725" s="32"/>
      <c r="J725" s="207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206"/>
      <c r="D726" s="206"/>
      <c r="E726" s="32"/>
      <c r="F726" s="206"/>
      <c r="G726" s="32"/>
      <c r="H726" s="32"/>
      <c r="I726" s="32"/>
      <c r="J726" s="207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206"/>
      <c r="D727" s="206"/>
      <c r="E727" s="32"/>
      <c r="F727" s="206"/>
      <c r="G727" s="32"/>
      <c r="H727" s="32"/>
      <c r="I727" s="32"/>
      <c r="J727" s="207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206"/>
      <c r="D728" s="206"/>
      <c r="E728" s="32"/>
      <c r="F728" s="206"/>
      <c r="G728" s="32"/>
      <c r="H728" s="32"/>
      <c r="I728" s="32"/>
      <c r="J728" s="207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206"/>
      <c r="D729" s="206"/>
      <c r="E729" s="32"/>
      <c r="F729" s="206"/>
      <c r="G729" s="32"/>
      <c r="H729" s="32"/>
      <c r="I729" s="32"/>
      <c r="J729" s="207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206"/>
      <c r="D730" s="206"/>
      <c r="E730" s="32"/>
      <c r="F730" s="206"/>
      <c r="G730" s="32"/>
      <c r="H730" s="32"/>
      <c r="I730" s="32"/>
      <c r="J730" s="207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206"/>
      <c r="D731" s="206"/>
      <c r="E731" s="32"/>
      <c r="F731" s="206"/>
      <c r="G731" s="32"/>
      <c r="H731" s="32"/>
      <c r="I731" s="32"/>
      <c r="J731" s="207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206"/>
      <c r="D732" s="206"/>
      <c r="E732" s="32"/>
      <c r="F732" s="206"/>
      <c r="G732" s="32"/>
      <c r="H732" s="32"/>
      <c r="I732" s="32"/>
      <c r="J732" s="207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206"/>
      <c r="D733" s="206"/>
      <c r="E733" s="32"/>
      <c r="F733" s="206"/>
      <c r="G733" s="32"/>
      <c r="H733" s="32"/>
      <c r="I733" s="32"/>
      <c r="J733" s="207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206"/>
      <c r="D734" s="206"/>
      <c r="E734" s="32"/>
      <c r="F734" s="206"/>
      <c r="G734" s="32"/>
      <c r="H734" s="32"/>
      <c r="I734" s="32"/>
      <c r="J734" s="207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206"/>
      <c r="D735" s="206"/>
      <c r="E735" s="32"/>
      <c r="F735" s="206"/>
      <c r="G735" s="32"/>
      <c r="H735" s="32"/>
      <c r="I735" s="32"/>
      <c r="J735" s="207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206"/>
      <c r="D736" s="206"/>
      <c r="E736" s="32"/>
      <c r="F736" s="206"/>
      <c r="G736" s="32"/>
      <c r="H736" s="32"/>
      <c r="I736" s="32"/>
      <c r="J736" s="207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206"/>
      <c r="D737" s="206"/>
      <c r="E737" s="32"/>
      <c r="F737" s="206"/>
      <c r="G737" s="32"/>
      <c r="H737" s="32"/>
      <c r="I737" s="32"/>
      <c r="J737" s="207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206"/>
      <c r="D738" s="206"/>
      <c r="E738" s="32"/>
      <c r="F738" s="206"/>
      <c r="G738" s="32"/>
      <c r="H738" s="32"/>
      <c r="I738" s="32"/>
      <c r="J738" s="207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206"/>
      <c r="D739" s="206"/>
      <c r="E739" s="32"/>
      <c r="F739" s="206"/>
      <c r="G739" s="32"/>
      <c r="H739" s="32"/>
      <c r="I739" s="32"/>
      <c r="J739" s="207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206"/>
      <c r="D740" s="206"/>
      <c r="E740" s="32"/>
      <c r="F740" s="206"/>
      <c r="G740" s="32"/>
      <c r="H740" s="32"/>
      <c r="I740" s="32"/>
      <c r="J740" s="207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206"/>
      <c r="D741" s="206"/>
      <c r="E741" s="32"/>
      <c r="F741" s="206"/>
      <c r="G741" s="32"/>
      <c r="H741" s="32"/>
      <c r="I741" s="32"/>
      <c r="J741" s="207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206"/>
      <c r="D742" s="206"/>
      <c r="E742" s="32"/>
      <c r="F742" s="206"/>
      <c r="G742" s="32"/>
      <c r="H742" s="32"/>
      <c r="I742" s="32"/>
      <c r="J742" s="207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206"/>
      <c r="D743" s="206"/>
      <c r="E743" s="32"/>
      <c r="F743" s="206"/>
      <c r="G743" s="32"/>
      <c r="H743" s="32"/>
      <c r="I743" s="32"/>
      <c r="J743" s="207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206"/>
      <c r="D744" s="206"/>
      <c r="E744" s="32"/>
      <c r="F744" s="206"/>
      <c r="G744" s="32"/>
      <c r="H744" s="32"/>
      <c r="I744" s="32"/>
      <c r="J744" s="207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206"/>
      <c r="D745" s="206"/>
      <c r="E745" s="32"/>
      <c r="F745" s="206"/>
      <c r="G745" s="32"/>
      <c r="H745" s="32"/>
      <c r="I745" s="32"/>
      <c r="J745" s="207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206"/>
      <c r="D746" s="206"/>
      <c r="E746" s="32"/>
      <c r="F746" s="206"/>
      <c r="G746" s="32"/>
      <c r="H746" s="32"/>
      <c r="I746" s="32"/>
      <c r="J746" s="207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206"/>
      <c r="D747" s="206"/>
      <c r="E747" s="32"/>
      <c r="F747" s="206"/>
      <c r="G747" s="32"/>
      <c r="H747" s="32"/>
      <c r="I747" s="32"/>
      <c r="J747" s="207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206"/>
      <c r="D748" s="206"/>
      <c r="E748" s="32"/>
      <c r="F748" s="206"/>
      <c r="G748" s="32"/>
      <c r="H748" s="32"/>
      <c r="I748" s="32"/>
      <c r="J748" s="207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206"/>
      <c r="D749" s="206"/>
      <c r="E749" s="32"/>
      <c r="F749" s="206"/>
      <c r="G749" s="32"/>
      <c r="H749" s="32"/>
      <c r="I749" s="32"/>
      <c r="J749" s="207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206"/>
      <c r="D750" s="206"/>
      <c r="E750" s="32"/>
      <c r="F750" s="206"/>
      <c r="G750" s="32"/>
      <c r="H750" s="32"/>
      <c r="I750" s="32"/>
      <c r="J750" s="207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206"/>
      <c r="D751" s="206"/>
      <c r="E751" s="32"/>
      <c r="F751" s="206"/>
      <c r="G751" s="32"/>
      <c r="H751" s="32"/>
      <c r="I751" s="32"/>
      <c r="J751" s="207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206"/>
      <c r="D752" s="206"/>
      <c r="E752" s="32"/>
      <c r="F752" s="206"/>
      <c r="G752" s="32"/>
      <c r="H752" s="32"/>
      <c r="I752" s="32"/>
      <c r="J752" s="207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206"/>
      <c r="D753" s="206"/>
      <c r="E753" s="32"/>
      <c r="F753" s="206"/>
      <c r="G753" s="32"/>
      <c r="H753" s="32"/>
      <c r="I753" s="32"/>
      <c r="J753" s="207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206"/>
      <c r="D754" s="206"/>
      <c r="E754" s="32"/>
      <c r="F754" s="206"/>
      <c r="G754" s="32"/>
      <c r="H754" s="32"/>
      <c r="I754" s="32"/>
      <c r="J754" s="207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206"/>
      <c r="D755" s="206"/>
      <c r="E755" s="32"/>
      <c r="F755" s="206"/>
      <c r="G755" s="32"/>
      <c r="H755" s="32"/>
      <c r="I755" s="32"/>
      <c r="J755" s="207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206"/>
      <c r="D756" s="206"/>
      <c r="E756" s="32"/>
      <c r="F756" s="206"/>
      <c r="G756" s="32"/>
      <c r="H756" s="32"/>
      <c r="I756" s="32"/>
      <c r="J756" s="207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206"/>
      <c r="D757" s="206"/>
      <c r="E757" s="32"/>
      <c r="F757" s="206"/>
      <c r="G757" s="32"/>
      <c r="H757" s="32"/>
      <c r="I757" s="32"/>
      <c r="J757" s="207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206"/>
      <c r="D758" s="206"/>
      <c r="E758" s="32"/>
      <c r="F758" s="206"/>
      <c r="G758" s="32"/>
      <c r="H758" s="32"/>
      <c r="I758" s="32"/>
      <c r="J758" s="207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206"/>
      <c r="D759" s="206"/>
      <c r="E759" s="32"/>
      <c r="F759" s="206"/>
      <c r="G759" s="32"/>
      <c r="H759" s="32"/>
      <c r="I759" s="32"/>
      <c r="J759" s="207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206"/>
      <c r="D760" s="206"/>
      <c r="E760" s="32"/>
      <c r="F760" s="206"/>
      <c r="G760" s="32"/>
      <c r="H760" s="32"/>
      <c r="I760" s="32"/>
      <c r="J760" s="207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206"/>
      <c r="D761" s="206"/>
      <c r="E761" s="32"/>
      <c r="F761" s="206"/>
      <c r="G761" s="32"/>
      <c r="H761" s="32"/>
      <c r="I761" s="32"/>
      <c r="J761" s="207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206"/>
      <c r="D762" s="206"/>
      <c r="E762" s="32"/>
      <c r="F762" s="206"/>
      <c r="G762" s="32"/>
      <c r="H762" s="32"/>
      <c r="I762" s="32"/>
      <c r="J762" s="207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206"/>
      <c r="D763" s="206"/>
      <c r="E763" s="32"/>
      <c r="F763" s="206"/>
      <c r="G763" s="32"/>
      <c r="H763" s="32"/>
      <c r="I763" s="32"/>
      <c r="J763" s="207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206"/>
      <c r="D764" s="206"/>
      <c r="E764" s="32"/>
      <c r="F764" s="206"/>
      <c r="G764" s="32"/>
      <c r="H764" s="32"/>
      <c r="I764" s="32"/>
      <c r="J764" s="207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206"/>
      <c r="D765" s="206"/>
      <c r="E765" s="32"/>
      <c r="F765" s="206"/>
      <c r="G765" s="32"/>
      <c r="H765" s="32"/>
      <c r="I765" s="32"/>
      <c r="J765" s="207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206"/>
      <c r="D766" s="206"/>
      <c r="E766" s="32"/>
      <c r="F766" s="206"/>
      <c r="G766" s="32"/>
      <c r="H766" s="32"/>
      <c r="I766" s="32"/>
      <c r="J766" s="207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206"/>
      <c r="D767" s="206"/>
      <c r="E767" s="32"/>
      <c r="F767" s="206"/>
      <c r="G767" s="32"/>
      <c r="H767" s="32"/>
      <c r="I767" s="32"/>
      <c r="J767" s="207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206"/>
      <c r="D768" s="206"/>
      <c r="E768" s="32"/>
      <c r="F768" s="206"/>
      <c r="G768" s="32"/>
      <c r="H768" s="32"/>
      <c r="I768" s="32"/>
      <c r="J768" s="207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206"/>
      <c r="D769" s="206"/>
      <c r="E769" s="32"/>
      <c r="F769" s="206"/>
      <c r="G769" s="32"/>
      <c r="H769" s="32"/>
      <c r="I769" s="32"/>
      <c r="J769" s="207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206"/>
      <c r="D770" s="206"/>
      <c r="E770" s="32"/>
      <c r="F770" s="206"/>
      <c r="G770" s="32"/>
      <c r="H770" s="32"/>
      <c r="I770" s="32"/>
      <c r="J770" s="207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206"/>
      <c r="D771" s="206"/>
      <c r="E771" s="32"/>
      <c r="F771" s="206"/>
      <c r="G771" s="32"/>
      <c r="H771" s="32"/>
      <c r="I771" s="32"/>
      <c r="J771" s="207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206"/>
      <c r="D772" s="206"/>
      <c r="E772" s="32"/>
      <c r="F772" s="206"/>
      <c r="G772" s="32"/>
      <c r="H772" s="32"/>
      <c r="I772" s="32"/>
      <c r="J772" s="207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206"/>
      <c r="D773" s="206"/>
      <c r="E773" s="32"/>
      <c r="F773" s="206"/>
      <c r="G773" s="32"/>
      <c r="H773" s="32"/>
      <c r="I773" s="32"/>
      <c r="J773" s="207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206"/>
      <c r="D774" s="206"/>
      <c r="E774" s="32"/>
      <c r="F774" s="206"/>
      <c r="G774" s="32"/>
      <c r="H774" s="32"/>
      <c r="I774" s="32"/>
      <c r="J774" s="207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206"/>
      <c r="D775" s="206"/>
      <c r="E775" s="32"/>
      <c r="F775" s="206"/>
      <c r="G775" s="32"/>
      <c r="H775" s="32"/>
      <c r="I775" s="32"/>
      <c r="J775" s="207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206"/>
      <c r="D776" s="206"/>
      <c r="E776" s="32"/>
      <c r="F776" s="206"/>
      <c r="G776" s="32"/>
      <c r="H776" s="32"/>
      <c r="I776" s="32"/>
      <c r="J776" s="207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206"/>
      <c r="D777" s="206"/>
      <c r="E777" s="32"/>
      <c r="F777" s="206"/>
      <c r="G777" s="32"/>
      <c r="H777" s="32"/>
      <c r="I777" s="32"/>
      <c r="J777" s="207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206"/>
      <c r="D778" s="206"/>
      <c r="E778" s="32"/>
      <c r="F778" s="206"/>
      <c r="G778" s="32"/>
      <c r="H778" s="32"/>
      <c r="I778" s="32"/>
      <c r="J778" s="207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206"/>
      <c r="D779" s="206"/>
      <c r="E779" s="32"/>
      <c r="F779" s="206"/>
      <c r="G779" s="32"/>
      <c r="H779" s="32"/>
      <c r="I779" s="32"/>
      <c r="J779" s="207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206"/>
      <c r="D780" s="206"/>
      <c r="E780" s="32"/>
      <c r="F780" s="206"/>
      <c r="G780" s="32"/>
      <c r="H780" s="32"/>
      <c r="I780" s="32"/>
      <c r="J780" s="207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206"/>
      <c r="D781" s="206"/>
      <c r="E781" s="32"/>
      <c r="F781" s="206"/>
      <c r="G781" s="32"/>
      <c r="H781" s="32"/>
      <c r="I781" s="32"/>
      <c r="J781" s="207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206"/>
      <c r="D782" s="206"/>
      <c r="E782" s="32"/>
      <c r="F782" s="206"/>
      <c r="G782" s="32"/>
      <c r="H782" s="32"/>
      <c r="I782" s="32"/>
      <c r="J782" s="207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206"/>
      <c r="D783" s="206"/>
      <c r="E783" s="32"/>
      <c r="F783" s="206"/>
      <c r="G783" s="32"/>
      <c r="H783" s="32"/>
      <c r="I783" s="32"/>
      <c r="J783" s="207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206"/>
      <c r="D784" s="206"/>
      <c r="E784" s="32"/>
      <c r="F784" s="206"/>
      <c r="G784" s="32"/>
      <c r="H784" s="32"/>
      <c r="I784" s="32"/>
      <c r="J784" s="207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206"/>
      <c r="D785" s="206"/>
      <c r="E785" s="32"/>
      <c r="F785" s="206"/>
      <c r="G785" s="32"/>
      <c r="H785" s="32"/>
      <c r="I785" s="32"/>
      <c r="J785" s="207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206"/>
      <c r="D786" s="206"/>
      <c r="E786" s="32"/>
      <c r="F786" s="206"/>
      <c r="G786" s="32"/>
      <c r="H786" s="32"/>
      <c r="I786" s="32"/>
      <c r="J786" s="207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206"/>
      <c r="D787" s="206"/>
      <c r="E787" s="32"/>
      <c r="F787" s="206"/>
      <c r="G787" s="32"/>
      <c r="H787" s="32"/>
      <c r="I787" s="32"/>
      <c r="J787" s="207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206"/>
      <c r="D788" s="206"/>
      <c r="E788" s="32"/>
      <c r="F788" s="206"/>
      <c r="G788" s="32"/>
      <c r="H788" s="32"/>
      <c r="I788" s="32"/>
      <c r="J788" s="207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206"/>
      <c r="D789" s="206"/>
      <c r="E789" s="32"/>
      <c r="F789" s="206"/>
      <c r="G789" s="32"/>
      <c r="H789" s="32"/>
      <c r="I789" s="32"/>
      <c r="J789" s="207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206"/>
      <c r="D790" s="206"/>
      <c r="E790" s="32"/>
      <c r="F790" s="206"/>
      <c r="G790" s="32"/>
      <c r="H790" s="32"/>
      <c r="I790" s="32"/>
      <c r="J790" s="207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206"/>
      <c r="D791" s="206"/>
      <c r="E791" s="32"/>
      <c r="F791" s="206"/>
      <c r="G791" s="32"/>
      <c r="H791" s="32"/>
      <c r="I791" s="32"/>
      <c r="J791" s="207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206"/>
      <c r="D792" s="206"/>
      <c r="E792" s="32"/>
      <c r="F792" s="206"/>
      <c r="G792" s="32"/>
      <c r="H792" s="32"/>
      <c r="I792" s="32"/>
      <c r="J792" s="207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206"/>
      <c r="D793" s="206"/>
      <c r="E793" s="32"/>
      <c r="F793" s="206"/>
      <c r="G793" s="32"/>
      <c r="H793" s="32"/>
      <c r="I793" s="32"/>
      <c r="J793" s="207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206"/>
      <c r="D794" s="206"/>
      <c r="E794" s="32"/>
      <c r="F794" s="206"/>
      <c r="G794" s="32"/>
      <c r="H794" s="32"/>
      <c r="I794" s="32"/>
      <c r="J794" s="207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206"/>
      <c r="D795" s="206"/>
      <c r="E795" s="32"/>
      <c r="F795" s="206"/>
      <c r="G795" s="32"/>
      <c r="H795" s="32"/>
      <c r="I795" s="32"/>
      <c r="J795" s="207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206"/>
      <c r="D796" s="206"/>
      <c r="E796" s="32"/>
      <c r="F796" s="206"/>
      <c r="G796" s="32"/>
      <c r="H796" s="32"/>
      <c r="I796" s="32"/>
      <c r="J796" s="207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206"/>
      <c r="D797" s="206"/>
      <c r="E797" s="32"/>
      <c r="F797" s="206"/>
      <c r="G797" s="32"/>
      <c r="H797" s="32"/>
      <c r="I797" s="32"/>
      <c r="J797" s="207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206"/>
      <c r="D798" s="206"/>
      <c r="E798" s="32"/>
      <c r="F798" s="206"/>
      <c r="G798" s="32"/>
      <c r="H798" s="32"/>
      <c r="I798" s="32"/>
      <c r="J798" s="207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206"/>
      <c r="D799" s="206"/>
      <c r="E799" s="32"/>
      <c r="F799" s="206"/>
      <c r="G799" s="32"/>
      <c r="H799" s="32"/>
      <c r="I799" s="32"/>
      <c r="J799" s="207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206"/>
      <c r="D800" s="206"/>
      <c r="E800" s="32"/>
      <c r="F800" s="206"/>
      <c r="G800" s="32"/>
      <c r="H800" s="32"/>
      <c r="I800" s="32"/>
      <c r="J800" s="207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206"/>
      <c r="D801" s="206"/>
      <c r="E801" s="32"/>
      <c r="F801" s="206"/>
      <c r="G801" s="32"/>
      <c r="H801" s="32"/>
      <c r="I801" s="32"/>
      <c r="J801" s="207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206"/>
      <c r="D802" s="206"/>
      <c r="E802" s="32"/>
      <c r="F802" s="206"/>
      <c r="G802" s="32"/>
      <c r="H802" s="32"/>
      <c r="I802" s="32"/>
      <c r="J802" s="207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206"/>
      <c r="D803" s="206"/>
      <c r="E803" s="32"/>
      <c r="F803" s="206"/>
      <c r="G803" s="32"/>
      <c r="H803" s="32"/>
      <c r="I803" s="32"/>
      <c r="J803" s="207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206"/>
      <c r="D804" s="206"/>
      <c r="E804" s="32"/>
      <c r="F804" s="206"/>
      <c r="G804" s="32"/>
      <c r="H804" s="32"/>
      <c r="I804" s="32"/>
      <c r="J804" s="207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206"/>
      <c r="D805" s="206"/>
      <c r="E805" s="32"/>
      <c r="F805" s="206"/>
      <c r="G805" s="32"/>
      <c r="H805" s="32"/>
      <c r="I805" s="32"/>
      <c r="J805" s="207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206"/>
      <c r="D806" s="206"/>
      <c r="E806" s="32"/>
      <c r="F806" s="206"/>
      <c r="G806" s="32"/>
      <c r="H806" s="32"/>
      <c r="I806" s="32"/>
      <c r="J806" s="207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206"/>
      <c r="D807" s="206"/>
      <c r="E807" s="32"/>
      <c r="F807" s="206"/>
      <c r="G807" s="32"/>
      <c r="H807" s="32"/>
      <c r="I807" s="32"/>
      <c r="J807" s="207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206"/>
      <c r="D808" s="206"/>
      <c r="E808" s="32"/>
      <c r="F808" s="206"/>
      <c r="G808" s="32"/>
      <c r="H808" s="32"/>
      <c r="I808" s="32"/>
      <c r="J808" s="207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206"/>
      <c r="D809" s="206"/>
      <c r="E809" s="32"/>
      <c r="F809" s="206"/>
      <c r="G809" s="32"/>
      <c r="H809" s="32"/>
      <c r="I809" s="32"/>
      <c r="J809" s="207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206"/>
      <c r="D810" s="206"/>
      <c r="E810" s="32"/>
      <c r="F810" s="206"/>
      <c r="G810" s="32"/>
      <c r="H810" s="32"/>
      <c r="I810" s="32"/>
      <c r="J810" s="207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206"/>
      <c r="D811" s="206"/>
      <c r="E811" s="32"/>
      <c r="F811" s="206"/>
      <c r="G811" s="32"/>
      <c r="H811" s="32"/>
      <c r="I811" s="32"/>
      <c r="J811" s="207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206"/>
      <c r="D812" s="206"/>
      <c r="E812" s="32"/>
      <c r="F812" s="206"/>
      <c r="G812" s="32"/>
      <c r="H812" s="32"/>
      <c r="I812" s="32"/>
      <c r="J812" s="207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206"/>
      <c r="D813" s="206"/>
      <c r="E813" s="32"/>
      <c r="F813" s="206"/>
      <c r="G813" s="32"/>
      <c r="H813" s="32"/>
      <c r="I813" s="32"/>
      <c r="J813" s="207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206"/>
      <c r="D814" s="206"/>
      <c r="E814" s="32"/>
      <c r="F814" s="206"/>
      <c r="G814" s="32"/>
      <c r="H814" s="32"/>
      <c r="I814" s="32"/>
      <c r="J814" s="207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206"/>
      <c r="D815" s="206"/>
      <c r="E815" s="32"/>
      <c r="F815" s="206"/>
      <c r="G815" s="32"/>
      <c r="H815" s="32"/>
      <c r="I815" s="32"/>
      <c r="J815" s="207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206"/>
      <c r="D816" s="206"/>
      <c r="E816" s="32"/>
      <c r="F816" s="206"/>
      <c r="G816" s="32"/>
      <c r="H816" s="32"/>
      <c r="I816" s="32"/>
      <c r="J816" s="207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206"/>
      <c r="D817" s="206"/>
      <c r="E817" s="32"/>
      <c r="F817" s="206"/>
      <c r="G817" s="32"/>
      <c r="H817" s="32"/>
      <c r="I817" s="32"/>
      <c r="J817" s="207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206"/>
      <c r="D818" s="206"/>
      <c r="E818" s="32"/>
      <c r="F818" s="206"/>
      <c r="G818" s="32"/>
      <c r="H818" s="32"/>
      <c r="I818" s="32"/>
      <c r="J818" s="207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206"/>
      <c r="D819" s="206"/>
      <c r="E819" s="32"/>
      <c r="F819" s="206"/>
      <c r="G819" s="32"/>
      <c r="H819" s="32"/>
      <c r="I819" s="32"/>
      <c r="J819" s="207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206"/>
      <c r="D820" s="206"/>
      <c r="E820" s="32"/>
      <c r="F820" s="206"/>
      <c r="G820" s="32"/>
      <c r="H820" s="32"/>
      <c r="I820" s="32"/>
      <c r="J820" s="207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206"/>
      <c r="D821" s="206"/>
      <c r="E821" s="32"/>
      <c r="F821" s="206"/>
      <c r="G821" s="32"/>
      <c r="H821" s="32"/>
      <c r="I821" s="32"/>
      <c r="J821" s="207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206"/>
      <c r="D822" s="206"/>
      <c r="E822" s="32"/>
      <c r="F822" s="206"/>
      <c r="G822" s="32"/>
      <c r="H822" s="32"/>
      <c r="I822" s="32"/>
      <c r="J822" s="207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206"/>
      <c r="D823" s="206"/>
      <c r="E823" s="32"/>
      <c r="F823" s="206"/>
      <c r="G823" s="32"/>
      <c r="H823" s="32"/>
      <c r="I823" s="32"/>
      <c r="J823" s="207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206"/>
      <c r="D824" s="206"/>
      <c r="E824" s="32"/>
      <c r="F824" s="206"/>
      <c r="G824" s="32"/>
      <c r="H824" s="32"/>
      <c r="I824" s="32"/>
      <c r="J824" s="207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206"/>
      <c r="D825" s="206"/>
      <c r="E825" s="32"/>
      <c r="F825" s="206"/>
      <c r="G825" s="32"/>
      <c r="H825" s="32"/>
      <c r="I825" s="32"/>
      <c r="J825" s="207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206"/>
      <c r="D826" s="206"/>
      <c r="E826" s="32"/>
      <c r="F826" s="206"/>
      <c r="G826" s="32"/>
      <c r="H826" s="32"/>
      <c r="I826" s="32"/>
      <c r="J826" s="207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206"/>
      <c r="D827" s="206"/>
      <c r="E827" s="32"/>
      <c r="F827" s="206"/>
      <c r="G827" s="32"/>
      <c r="H827" s="32"/>
      <c r="I827" s="32"/>
      <c r="J827" s="207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206"/>
      <c r="D828" s="206"/>
      <c r="E828" s="32"/>
      <c r="F828" s="206"/>
      <c r="G828" s="32"/>
      <c r="H828" s="32"/>
      <c r="I828" s="32"/>
      <c r="J828" s="207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206"/>
      <c r="D829" s="206"/>
      <c r="E829" s="32"/>
      <c r="F829" s="206"/>
      <c r="G829" s="32"/>
      <c r="H829" s="32"/>
      <c r="I829" s="32"/>
      <c r="J829" s="207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206"/>
      <c r="D830" s="206"/>
      <c r="E830" s="32"/>
      <c r="F830" s="206"/>
      <c r="G830" s="32"/>
      <c r="H830" s="32"/>
      <c r="I830" s="32"/>
      <c r="J830" s="207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206"/>
      <c r="D831" s="206"/>
      <c r="E831" s="32"/>
      <c r="F831" s="206"/>
      <c r="G831" s="32"/>
      <c r="H831" s="32"/>
      <c r="I831" s="32"/>
      <c r="J831" s="207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206"/>
      <c r="D832" s="206"/>
      <c r="E832" s="32"/>
      <c r="F832" s="206"/>
      <c r="G832" s="32"/>
      <c r="H832" s="32"/>
      <c r="I832" s="32"/>
      <c r="J832" s="207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206"/>
      <c r="D833" s="206"/>
      <c r="E833" s="32"/>
      <c r="F833" s="206"/>
      <c r="G833" s="32"/>
      <c r="H833" s="32"/>
      <c r="I833" s="32"/>
      <c r="J833" s="207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206"/>
      <c r="D834" s="206"/>
      <c r="E834" s="32"/>
      <c r="F834" s="206"/>
      <c r="G834" s="32"/>
      <c r="H834" s="32"/>
      <c r="I834" s="32"/>
      <c r="J834" s="207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206"/>
      <c r="D835" s="206"/>
      <c r="E835" s="32"/>
      <c r="F835" s="206"/>
      <c r="G835" s="32"/>
      <c r="H835" s="32"/>
      <c r="I835" s="32"/>
      <c r="J835" s="207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206"/>
      <c r="D836" s="206"/>
      <c r="E836" s="32"/>
      <c r="F836" s="206"/>
      <c r="G836" s="32"/>
      <c r="H836" s="32"/>
      <c r="I836" s="32"/>
      <c r="J836" s="207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206"/>
      <c r="D837" s="206"/>
      <c r="E837" s="32"/>
      <c r="F837" s="206"/>
      <c r="G837" s="32"/>
      <c r="H837" s="32"/>
      <c r="I837" s="32"/>
      <c r="J837" s="207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206"/>
      <c r="D838" s="206"/>
      <c r="E838" s="32"/>
      <c r="F838" s="206"/>
      <c r="G838" s="32"/>
      <c r="H838" s="32"/>
      <c r="I838" s="32"/>
      <c r="J838" s="207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206"/>
      <c r="D839" s="206"/>
      <c r="E839" s="32"/>
      <c r="F839" s="206"/>
      <c r="G839" s="32"/>
      <c r="H839" s="32"/>
      <c r="I839" s="32"/>
      <c r="J839" s="207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206"/>
      <c r="D840" s="206"/>
      <c r="E840" s="32"/>
      <c r="F840" s="206"/>
      <c r="G840" s="32"/>
      <c r="H840" s="32"/>
      <c r="I840" s="32"/>
      <c r="J840" s="207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206"/>
      <c r="D841" s="206"/>
      <c r="E841" s="32"/>
      <c r="F841" s="206"/>
      <c r="G841" s="32"/>
      <c r="H841" s="32"/>
      <c r="I841" s="32"/>
      <c r="J841" s="207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206"/>
      <c r="D842" s="206"/>
      <c r="E842" s="32"/>
      <c r="F842" s="206"/>
      <c r="G842" s="32"/>
      <c r="H842" s="32"/>
      <c r="I842" s="32"/>
      <c r="J842" s="207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206"/>
      <c r="D843" s="206"/>
      <c r="E843" s="32"/>
      <c r="F843" s="206"/>
      <c r="G843" s="32"/>
      <c r="H843" s="32"/>
      <c r="I843" s="32"/>
      <c r="J843" s="207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206"/>
      <c r="D844" s="206"/>
      <c r="E844" s="32"/>
      <c r="F844" s="206"/>
      <c r="G844" s="32"/>
      <c r="H844" s="32"/>
      <c r="I844" s="32"/>
      <c r="J844" s="207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206"/>
      <c r="D845" s="206"/>
      <c r="E845" s="32"/>
      <c r="F845" s="206"/>
      <c r="G845" s="32"/>
      <c r="H845" s="32"/>
      <c r="I845" s="32"/>
      <c r="J845" s="207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206"/>
      <c r="D846" s="206"/>
      <c r="E846" s="32"/>
      <c r="F846" s="206"/>
      <c r="G846" s="32"/>
      <c r="H846" s="32"/>
      <c r="I846" s="32"/>
      <c r="J846" s="207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206"/>
      <c r="D847" s="206"/>
      <c r="E847" s="32"/>
      <c r="F847" s="206"/>
      <c r="G847" s="32"/>
      <c r="H847" s="32"/>
      <c r="I847" s="32"/>
      <c r="J847" s="207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206"/>
      <c r="D848" s="206"/>
      <c r="E848" s="32"/>
      <c r="F848" s="206"/>
      <c r="G848" s="32"/>
      <c r="H848" s="32"/>
      <c r="I848" s="32"/>
      <c r="J848" s="207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206"/>
      <c r="D849" s="206"/>
      <c r="E849" s="32"/>
      <c r="F849" s="206"/>
      <c r="G849" s="32"/>
      <c r="H849" s="32"/>
      <c r="I849" s="32"/>
      <c r="J849" s="207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206"/>
      <c r="D850" s="206"/>
      <c r="E850" s="32"/>
      <c r="F850" s="206"/>
      <c r="G850" s="32"/>
      <c r="H850" s="32"/>
      <c r="I850" s="32"/>
      <c r="J850" s="207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206"/>
      <c r="D851" s="206"/>
      <c r="E851" s="32"/>
      <c r="F851" s="206"/>
      <c r="G851" s="32"/>
      <c r="H851" s="32"/>
      <c r="I851" s="32"/>
      <c r="J851" s="207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206"/>
      <c r="D852" s="206"/>
      <c r="E852" s="32"/>
      <c r="F852" s="206"/>
      <c r="G852" s="32"/>
      <c r="H852" s="32"/>
      <c r="I852" s="32"/>
      <c r="J852" s="207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206"/>
      <c r="D853" s="206"/>
      <c r="E853" s="32"/>
      <c r="F853" s="206"/>
      <c r="G853" s="32"/>
      <c r="H853" s="32"/>
      <c r="I853" s="32"/>
      <c r="J853" s="207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206"/>
      <c r="D854" s="206"/>
      <c r="E854" s="32"/>
      <c r="F854" s="206"/>
      <c r="G854" s="32"/>
      <c r="H854" s="32"/>
      <c r="I854" s="32"/>
      <c r="J854" s="207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206"/>
      <c r="D855" s="206"/>
      <c r="E855" s="32"/>
      <c r="F855" s="206"/>
      <c r="G855" s="32"/>
      <c r="H855" s="32"/>
      <c r="I855" s="32"/>
      <c r="J855" s="207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206"/>
      <c r="D856" s="206"/>
      <c r="E856" s="32"/>
      <c r="F856" s="206"/>
      <c r="G856" s="32"/>
      <c r="H856" s="32"/>
      <c r="I856" s="32"/>
      <c r="J856" s="207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206"/>
      <c r="D857" s="206"/>
      <c r="E857" s="32"/>
      <c r="F857" s="206"/>
      <c r="G857" s="32"/>
      <c r="H857" s="32"/>
      <c r="I857" s="32"/>
      <c r="J857" s="207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206"/>
      <c r="D858" s="206"/>
      <c r="E858" s="32"/>
      <c r="F858" s="206"/>
      <c r="G858" s="32"/>
      <c r="H858" s="32"/>
      <c r="I858" s="32"/>
      <c r="J858" s="207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206"/>
      <c r="D859" s="206"/>
      <c r="E859" s="32"/>
      <c r="F859" s="206"/>
      <c r="G859" s="32"/>
      <c r="H859" s="32"/>
      <c r="I859" s="32"/>
      <c r="J859" s="207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206"/>
      <c r="D860" s="206"/>
      <c r="E860" s="32"/>
      <c r="F860" s="206"/>
      <c r="G860" s="32"/>
      <c r="H860" s="32"/>
      <c r="I860" s="32"/>
      <c r="J860" s="207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206"/>
      <c r="D861" s="206"/>
      <c r="E861" s="32"/>
      <c r="F861" s="206"/>
      <c r="G861" s="32"/>
      <c r="H861" s="32"/>
      <c r="I861" s="32"/>
      <c r="J861" s="207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206"/>
      <c r="D862" s="206"/>
      <c r="E862" s="32"/>
      <c r="F862" s="206"/>
      <c r="G862" s="32"/>
      <c r="H862" s="32"/>
      <c r="I862" s="32"/>
      <c r="J862" s="207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206"/>
      <c r="D863" s="206"/>
      <c r="E863" s="32"/>
      <c r="F863" s="206"/>
      <c r="G863" s="32"/>
      <c r="H863" s="32"/>
      <c r="I863" s="32"/>
      <c r="J863" s="207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206"/>
      <c r="D864" s="206"/>
      <c r="E864" s="32"/>
      <c r="F864" s="206"/>
      <c r="G864" s="32"/>
      <c r="H864" s="32"/>
      <c r="I864" s="32"/>
      <c r="J864" s="207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206"/>
      <c r="D865" s="206"/>
      <c r="E865" s="32"/>
      <c r="F865" s="206"/>
      <c r="G865" s="32"/>
      <c r="H865" s="32"/>
      <c r="I865" s="32"/>
      <c r="J865" s="207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206"/>
      <c r="D866" s="206"/>
      <c r="E866" s="32"/>
      <c r="F866" s="206"/>
      <c r="G866" s="32"/>
      <c r="H866" s="32"/>
      <c r="I866" s="32"/>
      <c r="J866" s="207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206"/>
      <c r="D867" s="206"/>
      <c r="E867" s="32"/>
      <c r="F867" s="206"/>
      <c r="G867" s="32"/>
      <c r="H867" s="32"/>
      <c r="I867" s="32"/>
      <c r="J867" s="207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206"/>
      <c r="D868" s="206"/>
      <c r="E868" s="32"/>
      <c r="F868" s="206"/>
      <c r="G868" s="32"/>
      <c r="H868" s="32"/>
      <c r="I868" s="32"/>
      <c r="J868" s="207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206"/>
      <c r="D869" s="206"/>
      <c r="E869" s="32"/>
      <c r="F869" s="206"/>
      <c r="G869" s="32"/>
      <c r="H869" s="32"/>
      <c r="I869" s="32"/>
      <c r="J869" s="207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206"/>
      <c r="D870" s="206"/>
      <c r="E870" s="32"/>
      <c r="F870" s="206"/>
      <c r="G870" s="32"/>
      <c r="H870" s="32"/>
      <c r="I870" s="32"/>
      <c r="J870" s="207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206"/>
      <c r="D871" s="206"/>
      <c r="E871" s="32"/>
      <c r="F871" s="206"/>
      <c r="G871" s="32"/>
      <c r="H871" s="32"/>
      <c r="I871" s="32"/>
      <c r="J871" s="207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206"/>
      <c r="D872" s="206"/>
      <c r="E872" s="32"/>
      <c r="F872" s="206"/>
      <c r="G872" s="32"/>
      <c r="H872" s="32"/>
      <c r="I872" s="32"/>
      <c r="J872" s="207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206"/>
      <c r="D873" s="206"/>
      <c r="E873" s="32"/>
      <c r="F873" s="206"/>
      <c r="G873" s="32"/>
      <c r="H873" s="32"/>
      <c r="I873" s="32"/>
      <c r="J873" s="207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206"/>
      <c r="D874" s="206"/>
      <c r="E874" s="32"/>
      <c r="F874" s="206"/>
      <c r="G874" s="32"/>
      <c r="H874" s="32"/>
      <c r="I874" s="32"/>
      <c r="J874" s="207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206"/>
      <c r="D875" s="206"/>
      <c r="E875" s="32"/>
      <c r="F875" s="206"/>
      <c r="G875" s="32"/>
      <c r="H875" s="32"/>
      <c r="I875" s="32"/>
      <c r="J875" s="207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206"/>
      <c r="D876" s="206"/>
      <c r="E876" s="32"/>
      <c r="F876" s="206"/>
      <c r="G876" s="32"/>
      <c r="H876" s="32"/>
      <c r="I876" s="32"/>
      <c r="J876" s="207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206"/>
      <c r="D877" s="206"/>
      <c r="E877" s="32"/>
      <c r="F877" s="206"/>
      <c r="G877" s="32"/>
      <c r="H877" s="32"/>
      <c r="I877" s="32"/>
      <c r="J877" s="207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206"/>
      <c r="D878" s="206"/>
      <c r="E878" s="32"/>
      <c r="F878" s="206"/>
      <c r="G878" s="32"/>
      <c r="H878" s="32"/>
      <c r="I878" s="32"/>
      <c r="J878" s="207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206"/>
      <c r="D879" s="206"/>
      <c r="E879" s="32"/>
      <c r="F879" s="206"/>
      <c r="G879" s="32"/>
      <c r="H879" s="32"/>
      <c r="I879" s="32"/>
      <c r="J879" s="207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206"/>
      <c r="D880" s="206"/>
      <c r="E880" s="32"/>
      <c r="F880" s="206"/>
      <c r="G880" s="32"/>
      <c r="H880" s="32"/>
      <c r="I880" s="32"/>
      <c r="J880" s="207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206"/>
      <c r="D881" s="206"/>
      <c r="E881" s="32"/>
      <c r="F881" s="206"/>
      <c r="G881" s="32"/>
      <c r="H881" s="32"/>
      <c r="I881" s="32"/>
      <c r="J881" s="207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206"/>
      <c r="D882" s="206"/>
      <c r="E882" s="32"/>
      <c r="F882" s="206"/>
      <c r="G882" s="32"/>
      <c r="H882" s="32"/>
      <c r="I882" s="32"/>
      <c r="J882" s="207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206"/>
      <c r="D883" s="206"/>
      <c r="E883" s="32"/>
      <c r="F883" s="206"/>
      <c r="G883" s="32"/>
      <c r="H883" s="32"/>
      <c r="I883" s="32"/>
      <c r="J883" s="207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206"/>
      <c r="D884" s="206"/>
      <c r="E884" s="32"/>
      <c r="F884" s="206"/>
      <c r="G884" s="32"/>
      <c r="H884" s="32"/>
      <c r="I884" s="32"/>
      <c r="J884" s="207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206"/>
      <c r="D885" s="206"/>
      <c r="E885" s="32"/>
      <c r="F885" s="206"/>
      <c r="G885" s="32"/>
      <c r="H885" s="32"/>
      <c r="I885" s="32"/>
      <c r="J885" s="207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206"/>
      <c r="D886" s="206"/>
      <c r="E886" s="32"/>
      <c r="F886" s="206"/>
      <c r="G886" s="32"/>
      <c r="H886" s="32"/>
      <c r="I886" s="32"/>
      <c r="J886" s="207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206"/>
      <c r="D887" s="206"/>
      <c r="E887" s="32"/>
      <c r="F887" s="206"/>
      <c r="G887" s="32"/>
      <c r="H887" s="32"/>
      <c r="I887" s="32"/>
      <c r="J887" s="207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206"/>
      <c r="D888" s="206"/>
      <c r="E888" s="32"/>
      <c r="F888" s="206"/>
      <c r="G888" s="32"/>
      <c r="H888" s="32"/>
      <c r="I888" s="32"/>
      <c r="J888" s="207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206"/>
      <c r="D889" s="206"/>
      <c r="E889" s="32"/>
      <c r="F889" s="206"/>
      <c r="G889" s="32"/>
      <c r="H889" s="32"/>
      <c r="I889" s="32"/>
      <c r="J889" s="207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206"/>
      <c r="D890" s="206"/>
      <c r="E890" s="32"/>
      <c r="F890" s="206"/>
      <c r="G890" s="32"/>
      <c r="H890" s="32"/>
      <c r="I890" s="32"/>
      <c r="J890" s="207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206"/>
      <c r="D891" s="206"/>
      <c r="E891" s="32"/>
      <c r="F891" s="206"/>
      <c r="G891" s="32"/>
      <c r="H891" s="32"/>
      <c r="I891" s="32"/>
      <c r="J891" s="207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206"/>
      <c r="D892" s="206"/>
      <c r="E892" s="32"/>
      <c r="F892" s="206"/>
      <c r="G892" s="32"/>
      <c r="H892" s="32"/>
      <c r="I892" s="32"/>
      <c r="J892" s="207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206"/>
      <c r="D893" s="206"/>
      <c r="E893" s="32"/>
      <c r="F893" s="206"/>
      <c r="G893" s="32"/>
      <c r="H893" s="32"/>
      <c r="I893" s="32"/>
      <c r="J893" s="207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206"/>
      <c r="D894" s="206"/>
      <c r="E894" s="32"/>
      <c r="F894" s="206"/>
      <c r="G894" s="32"/>
      <c r="H894" s="32"/>
      <c r="I894" s="32"/>
      <c r="J894" s="207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206"/>
      <c r="D895" s="206"/>
      <c r="E895" s="32"/>
      <c r="F895" s="206"/>
      <c r="G895" s="32"/>
      <c r="H895" s="32"/>
      <c r="I895" s="32"/>
      <c r="J895" s="207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206"/>
      <c r="D896" s="206"/>
      <c r="E896" s="32"/>
      <c r="F896" s="206"/>
      <c r="G896" s="32"/>
      <c r="H896" s="32"/>
      <c r="I896" s="32"/>
      <c r="J896" s="207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206"/>
      <c r="D897" s="206"/>
      <c r="E897" s="32"/>
      <c r="F897" s="206"/>
      <c r="G897" s="32"/>
      <c r="H897" s="32"/>
      <c r="I897" s="32"/>
      <c r="J897" s="207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206"/>
      <c r="D898" s="206"/>
      <c r="E898" s="32"/>
      <c r="F898" s="206"/>
      <c r="G898" s="32"/>
      <c r="H898" s="32"/>
      <c r="I898" s="32"/>
      <c r="J898" s="207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206"/>
      <c r="D899" s="206"/>
      <c r="E899" s="32"/>
      <c r="F899" s="206"/>
      <c r="G899" s="32"/>
      <c r="H899" s="32"/>
      <c r="I899" s="32"/>
      <c r="J899" s="207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206"/>
      <c r="D900" s="206"/>
      <c r="E900" s="32"/>
      <c r="F900" s="206"/>
      <c r="G900" s="32"/>
      <c r="H900" s="32"/>
      <c r="I900" s="32"/>
      <c r="J900" s="207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206"/>
      <c r="D901" s="206"/>
      <c r="E901" s="32"/>
      <c r="F901" s="206"/>
      <c r="G901" s="32"/>
      <c r="H901" s="32"/>
      <c r="I901" s="32"/>
      <c r="J901" s="207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206"/>
      <c r="D902" s="206"/>
      <c r="E902" s="32"/>
      <c r="F902" s="206"/>
      <c r="G902" s="32"/>
      <c r="H902" s="32"/>
      <c r="I902" s="32"/>
      <c r="J902" s="207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206"/>
      <c r="D903" s="206"/>
      <c r="E903" s="32"/>
      <c r="F903" s="206"/>
      <c r="G903" s="32"/>
      <c r="H903" s="32"/>
      <c r="I903" s="32"/>
      <c r="J903" s="207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206"/>
      <c r="D904" s="206"/>
      <c r="E904" s="32"/>
      <c r="F904" s="206"/>
      <c r="G904" s="32"/>
      <c r="H904" s="32"/>
      <c r="I904" s="32"/>
      <c r="J904" s="207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206"/>
      <c r="D905" s="206"/>
      <c r="E905" s="32"/>
      <c r="F905" s="206"/>
      <c r="G905" s="32"/>
      <c r="H905" s="32"/>
      <c r="I905" s="32"/>
      <c r="J905" s="207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206"/>
      <c r="D906" s="206"/>
      <c r="E906" s="32"/>
      <c r="F906" s="206"/>
      <c r="G906" s="32"/>
      <c r="H906" s="32"/>
      <c r="I906" s="32"/>
      <c r="J906" s="207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206"/>
      <c r="D907" s="206"/>
      <c r="E907" s="32"/>
      <c r="F907" s="206"/>
      <c r="G907" s="32"/>
      <c r="H907" s="32"/>
      <c r="I907" s="32"/>
      <c r="J907" s="207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206"/>
      <c r="D908" s="206"/>
      <c r="E908" s="32"/>
      <c r="F908" s="206"/>
      <c r="G908" s="32"/>
      <c r="H908" s="32"/>
      <c r="I908" s="32"/>
      <c r="J908" s="207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206"/>
      <c r="D909" s="206"/>
      <c r="E909" s="32"/>
      <c r="F909" s="206"/>
      <c r="G909" s="32"/>
      <c r="H909" s="32"/>
      <c r="I909" s="32"/>
      <c r="J909" s="207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206"/>
      <c r="D910" s="206"/>
      <c r="E910" s="32"/>
      <c r="F910" s="206"/>
      <c r="G910" s="32"/>
      <c r="H910" s="32"/>
      <c r="I910" s="32"/>
      <c r="J910" s="207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206"/>
      <c r="D911" s="206"/>
      <c r="E911" s="32"/>
      <c r="F911" s="206"/>
      <c r="G911" s="32"/>
      <c r="H911" s="32"/>
      <c r="I911" s="32"/>
      <c r="J911" s="207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206"/>
      <c r="D912" s="206"/>
      <c r="E912" s="32"/>
      <c r="F912" s="206"/>
      <c r="G912" s="32"/>
      <c r="H912" s="32"/>
      <c r="I912" s="32"/>
      <c r="J912" s="207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206"/>
      <c r="D913" s="206"/>
      <c r="E913" s="32"/>
      <c r="F913" s="206"/>
      <c r="G913" s="32"/>
      <c r="H913" s="32"/>
      <c r="I913" s="32"/>
      <c r="J913" s="207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206"/>
      <c r="D914" s="206"/>
      <c r="E914" s="32"/>
      <c r="F914" s="206"/>
      <c r="G914" s="32"/>
      <c r="H914" s="32"/>
      <c r="I914" s="32"/>
      <c r="J914" s="207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206"/>
      <c r="D915" s="206"/>
      <c r="E915" s="32"/>
      <c r="F915" s="206"/>
      <c r="G915" s="32"/>
      <c r="H915" s="32"/>
      <c r="I915" s="32"/>
      <c r="J915" s="207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206"/>
      <c r="D916" s="206"/>
      <c r="E916" s="32"/>
      <c r="F916" s="206"/>
      <c r="G916" s="32"/>
      <c r="H916" s="32"/>
      <c r="I916" s="32"/>
      <c r="J916" s="207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206"/>
      <c r="D917" s="206"/>
      <c r="E917" s="32"/>
      <c r="F917" s="206"/>
      <c r="G917" s="32"/>
      <c r="H917" s="32"/>
      <c r="I917" s="32"/>
      <c r="J917" s="207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206"/>
      <c r="D918" s="206"/>
      <c r="E918" s="32"/>
      <c r="F918" s="206"/>
      <c r="G918" s="32"/>
      <c r="H918" s="32"/>
      <c r="I918" s="32"/>
      <c r="J918" s="207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206"/>
      <c r="D919" s="206"/>
      <c r="E919" s="32"/>
      <c r="F919" s="206"/>
      <c r="G919" s="32"/>
      <c r="H919" s="32"/>
      <c r="I919" s="32"/>
      <c r="J919" s="207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206"/>
      <c r="D920" s="206"/>
      <c r="E920" s="32"/>
      <c r="F920" s="206"/>
      <c r="G920" s="32"/>
      <c r="H920" s="32"/>
      <c r="I920" s="32"/>
      <c r="J920" s="207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206"/>
      <c r="D921" s="206"/>
      <c r="E921" s="32"/>
      <c r="F921" s="206"/>
      <c r="G921" s="32"/>
      <c r="H921" s="32"/>
      <c r="I921" s="32"/>
      <c r="J921" s="207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206"/>
      <c r="D922" s="206"/>
      <c r="E922" s="32"/>
      <c r="F922" s="206"/>
      <c r="G922" s="32"/>
      <c r="H922" s="32"/>
      <c r="I922" s="32"/>
      <c r="J922" s="207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206"/>
      <c r="D923" s="206"/>
      <c r="E923" s="32"/>
      <c r="F923" s="206"/>
      <c r="G923" s="32"/>
      <c r="H923" s="32"/>
      <c r="I923" s="32"/>
      <c r="J923" s="207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206"/>
      <c r="D924" s="206"/>
      <c r="E924" s="32"/>
      <c r="F924" s="206"/>
      <c r="G924" s="32"/>
      <c r="H924" s="32"/>
      <c r="I924" s="32"/>
      <c r="J924" s="207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206"/>
      <c r="D925" s="206"/>
      <c r="E925" s="32"/>
      <c r="F925" s="206"/>
      <c r="G925" s="32"/>
      <c r="H925" s="32"/>
      <c r="I925" s="32"/>
      <c r="J925" s="207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206"/>
      <c r="D926" s="206"/>
      <c r="E926" s="32"/>
      <c r="F926" s="206"/>
      <c r="G926" s="32"/>
      <c r="H926" s="32"/>
      <c r="I926" s="32"/>
      <c r="J926" s="207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206"/>
      <c r="D927" s="206"/>
      <c r="E927" s="32"/>
      <c r="F927" s="206"/>
      <c r="G927" s="32"/>
      <c r="H927" s="32"/>
      <c r="I927" s="32"/>
      <c r="J927" s="207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206"/>
      <c r="D928" s="206"/>
      <c r="E928" s="32"/>
      <c r="F928" s="206"/>
      <c r="G928" s="32"/>
      <c r="H928" s="32"/>
      <c r="I928" s="32"/>
      <c r="J928" s="207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206"/>
      <c r="D929" s="206"/>
      <c r="E929" s="32"/>
      <c r="F929" s="206"/>
      <c r="G929" s="32"/>
      <c r="H929" s="32"/>
      <c r="I929" s="32"/>
      <c r="J929" s="207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206"/>
      <c r="D930" s="206"/>
      <c r="E930" s="32"/>
      <c r="F930" s="206"/>
      <c r="G930" s="32"/>
      <c r="H930" s="32"/>
      <c r="I930" s="32"/>
      <c r="J930" s="207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206"/>
      <c r="D931" s="206"/>
      <c r="E931" s="32"/>
      <c r="F931" s="206"/>
      <c r="G931" s="32"/>
      <c r="H931" s="32"/>
      <c r="I931" s="32"/>
      <c r="J931" s="207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206"/>
      <c r="D932" s="206"/>
      <c r="E932" s="32"/>
      <c r="F932" s="206"/>
      <c r="G932" s="32"/>
      <c r="H932" s="32"/>
      <c r="I932" s="32"/>
      <c r="J932" s="207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206"/>
      <c r="D933" s="206"/>
      <c r="E933" s="32"/>
      <c r="F933" s="206"/>
      <c r="G933" s="32"/>
      <c r="H933" s="32"/>
      <c r="I933" s="32"/>
      <c r="J933" s="207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206"/>
      <c r="D934" s="206"/>
      <c r="E934" s="32"/>
      <c r="F934" s="206"/>
      <c r="G934" s="32"/>
      <c r="H934" s="32"/>
      <c r="I934" s="32"/>
      <c r="J934" s="207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206"/>
      <c r="D935" s="206"/>
      <c r="E935" s="32"/>
      <c r="F935" s="206"/>
      <c r="G935" s="32"/>
      <c r="H935" s="32"/>
      <c r="I935" s="32"/>
      <c r="J935" s="207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206"/>
      <c r="D936" s="206"/>
      <c r="E936" s="32"/>
      <c r="F936" s="206"/>
      <c r="G936" s="32"/>
      <c r="H936" s="32"/>
      <c r="I936" s="32"/>
      <c r="J936" s="207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206"/>
      <c r="D937" s="206"/>
      <c r="E937" s="32"/>
      <c r="F937" s="206"/>
      <c r="G937" s="32"/>
      <c r="H937" s="32"/>
      <c r="I937" s="32"/>
      <c r="J937" s="207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206"/>
      <c r="D938" s="206"/>
      <c r="E938" s="32"/>
      <c r="F938" s="206"/>
      <c r="G938" s="32"/>
      <c r="H938" s="32"/>
      <c r="I938" s="32"/>
      <c r="J938" s="207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206"/>
      <c r="D939" s="206"/>
      <c r="E939" s="32"/>
      <c r="F939" s="206"/>
      <c r="G939" s="32"/>
      <c r="H939" s="32"/>
      <c r="I939" s="32"/>
      <c r="J939" s="207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206"/>
      <c r="D940" s="206"/>
      <c r="E940" s="32"/>
      <c r="F940" s="206"/>
      <c r="G940" s="32"/>
      <c r="H940" s="32"/>
      <c r="I940" s="32"/>
      <c r="J940" s="207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206"/>
      <c r="D941" s="206"/>
      <c r="E941" s="32"/>
      <c r="F941" s="206"/>
      <c r="G941" s="32"/>
      <c r="H941" s="32"/>
      <c r="I941" s="32"/>
      <c r="J941" s="207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206"/>
      <c r="D942" s="206"/>
      <c r="E942" s="32"/>
      <c r="F942" s="206"/>
      <c r="G942" s="32"/>
      <c r="H942" s="32"/>
      <c r="I942" s="32"/>
      <c r="J942" s="207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206"/>
      <c r="D943" s="206"/>
      <c r="E943" s="32"/>
      <c r="F943" s="206"/>
      <c r="G943" s="32"/>
      <c r="H943" s="32"/>
      <c r="I943" s="32"/>
      <c r="J943" s="207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206"/>
      <c r="D944" s="206"/>
      <c r="E944" s="32"/>
      <c r="F944" s="206"/>
      <c r="G944" s="32"/>
      <c r="H944" s="32"/>
      <c r="I944" s="32"/>
      <c r="J944" s="207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206"/>
      <c r="D945" s="206"/>
      <c r="E945" s="32"/>
      <c r="F945" s="206"/>
      <c r="G945" s="32"/>
      <c r="H945" s="32"/>
      <c r="I945" s="32"/>
      <c r="J945" s="207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206"/>
      <c r="D946" s="206"/>
      <c r="E946" s="32"/>
      <c r="F946" s="206"/>
      <c r="G946" s="32"/>
      <c r="H946" s="32"/>
      <c r="I946" s="32"/>
      <c r="J946" s="207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206"/>
      <c r="D947" s="206"/>
      <c r="E947" s="32"/>
      <c r="F947" s="206"/>
      <c r="G947" s="32"/>
      <c r="H947" s="32"/>
      <c r="I947" s="32"/>
      <c r="J947" s="207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206"/>
      <c r="D948" s="206"/>
      <c r="E948" s="32"/>
      <c r="F948" s="206"/>
      <c r="G948" s="32"/>
      <c r="H948" s="32"/>
      <c r="I948" s="32"/>
      <c r="J948" s="207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206"/>
      <c r="D949" s="206"/>
      <c r="E949" s="32"/>
      <c r="F949" s="206"/>
      <c r="G949" s="32"/>
      <c r="H949" s="32"/>
      <c r="I949" s="32"/>
      <c r="J949" s="207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206"/>
      <c r="D950" s="206"/>
      <c r="E950" s="32"/>
      <c r="F950" s="206"/>
      <c r="G950" s="32"/>
      <c r="H950" s="32"/>
      <c r="I950" s="32"/>
      <c r="J950" s="207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206"/>
      <c r="D951" s="206"/>
      <c r="E951" s="32"/>
      <c r="F951" s="206"/>
      <c r="G951" s="32"/>
      <c r="H951" s="32"/>
      <c r="I951" s="32"/>
      <c r="J951" s="207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206"/>
      <c r="D952" s="206"/>
      <c r="E952" s="32"/>
      <c r="F952" s="206"/>
      <c r="G952" s="32"/>
      <c r="H952" s="32"/>
      <c r="I952" s="32"/>
      <c r="J952" s="207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206"/>
      <c r="D953" s="206"/>
      <c r="E953" s="32"/>
      <c r="F953" s="206"/>
      <c r="G953" s="32"/>
      <c r="H953" s="32"/>
      <c r="I953" s="32"/>
      <c r="J953" s="207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206"/>
      <c r="D954" s="206"/>
      <c r="E954" s="32"/>
      <c r="F954" s="206"/>
      <c r="G954" s="32"/>
      <c r="H954" s="32"/>
      <c r="I954" s="32"/>
      <c r="J954" s="207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206"/>
      <c r="D955" s="206"/>
      <c r="E955" s="32"/>
      <c r="F955" s="206"/>
      <c r="G955" s="32"/>
      <c r="H955" s="32"/>
      <c r="I955" s="32"/>
      <c r="J955" s="207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206"/>
      <c r="D956" s="206"/>
      <c r="E956" s="32"/>
      <c r="F956" s="206"/>
      <c r="G956" s="32"/>
      <c r="H956" s="32"/>
      <c r="I956" s="32"/>
      <c r="J956" s="207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206"/>
      <c r="D957" s="206"/>
      <c r="E957" s="32"/>
      <c r="F957" s="206"/>
      <c r="G957" s="32"/>
      <c r="H957" s="32"/>
      <c r="I957" s="32"/>
      <c r="J957" s="207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206"/>
      <c r="D958" s="206"/>
      <c r="E958" s="32"/>
      <c r="F958" s="206"/>
      <c r="G958" s="32"/>
      <c r="H958" s="32"/>
      <c r="I958" s="32"/>
      <c r="J958" s="207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206"/>
      <c r="D959" s="206"/>
      <c r="E959" s="32"/>
      <c r="F959" s="206"/>
      <c r="G959" s="32"/>
      <c r="H959" s="32"/>
      <c r="I959" s="32"/>
      <c r="J959" s="207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206"/>
      <c r="D960" s="206"/>
      <c r="E960" s="32"/>
      <c r="F960" s="206"/>
      <c r="G960" s="32"/>
      <c r="H960" s="32"/>
      <c r="I960" s="32"/>
      <c r="J960" s="207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206"/>
      <c r="D961" s="206"/>
      <c r="E961" s="32"/>
      <c r="F961" s="206"/>
      <c r="G961" s="32"/>
      <c r="H961" s="32"/>
      <c r="I961" s="32"/>
      <c r="J961" s="207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206"/>
      <c r="D962" s="206"/>
      <c r="E962" s="32"/>
      <c r="F962" s="206"/>
      <c r="G962" s="32"/>
      <c r="H962" s="32"/>
      <c r="I962" s="32"/>
      <c r="J962" s="207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206"/>
      <c r="D963" s="206"/>
      <c r="E963" s="32"/>
      <c r="F963" s="206"/>
      <c r="G963" s="32"/>
      <c r="H963" s="32"/>
      <c r="I963" s="32"/>
      <c r="J963" s="207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206"/>
      <c r="D964" s="206"/>
      <c r="E964" s="32"/>
      <c r="F964" s="206"/>
      <c r="G964" s="32"/>
      <c r="H964" s="32"/>
      <c r="I964" s="32"/>
      <c r="J964" s="207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206"/>
      <c r="D965" s="206"/>
      <c r="E965" s="32"/>
      <c r="F965" s="206"/>
      <c r="G965" s="32"/>
      <c r="H965" s="32"/>
      <c r="I965" s="32"/>
      <c r="J965" s="207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206"/>
      <c r="D966" s="206"/>
      <c r="E966" s="32"/>
      <c r="F966" s="206"/>
      <c r="G966" s="32"/>
      <c r="H966" s="32"/>
      <c r="I966" s="32"/>
      <c r="J966" s="207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206"/>
      <c r="D967" s="206"/>
      <c r="E967" s="32"/>
      <c r="F967" s="206"/>
      <c r="G967" s="32"/>
      <c r="H967" s="32"/>
      <c r="I967" s="32"/>
      <c r="J967" s="207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206"/>
      <c r="D968" s="206"/>
      <c r="E968" s="32"/>
      <c r="F968" s="206"/>
      <c r="G968" s="32"/>
      <c r="H968" s="32"/>
      <c r="I968" s="32"/>
      <c r="J968" s="207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206"/>
      <c r="D969" s="206"/>
      <c r="E969" s="32"/>
      <c r="F969" s="206"/>
      <c r="G969" s="32"/>
      <c r="H969" s="32"/>
      <c r="I969" s="32"/>
      <c r="J969" s="207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206"/>
      <c r="D970" s="206"/>
      <c r="E970" s="32"/>
      <c r="F970" s="206"/>
      <c r="G970" s="32"/>
      <c r="H970" s="32"/>
      <c r="I970" s="32"/>
      <c r="J970" s="207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206"/>
      <c r="D971" s="206"/>
      <c r="E971" s="32"/>
      <c r="F971" s="206"/>
      <c r="G971" s="32"/>
      <c r="H971" s="32"/>
      <c r="I971" s="32"/>
      <c r="J971" s="207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206"/>
      <c r="D972" s="206"/>
      <c r="E972" s="32"/>
      <c r="F972" s="206"/>
      <c r="G972" s="32"/>
      <c r="H972" s="32"/>
      <c r="I972" s="32"/>
      <c r="J972" s="207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206"/>
      <c r="D973" s="206"/>
      <c r="E973" s="32"/>
      <c r="F973" s="206"/>
      <c r="G973" s="32"/>
      <c r="H973" s="32"/>
      <c r="I973" s="32"/>
      <c r="J973" s="207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206"/>
      <c r="D974" s="206"/>
      <c r="E974" s="32"/>
      <c r="F974" s="206"/>
      <c r="G974" s="32"/>
      <c r="H974" s="32"/>
      <c r="I974" s="32"/>
      <c r="J974" s="207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206"/>
      <c r="D975" s="206"/>
      <c r="E975" s="32"/>
      <c r="F975" s="206"/>
      <c r="G975" s="32"/>
      <c r="H975" s="32"/>
      <c r="I975" s="32"/>
      <c r="J975" s="207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206"/>
      <c r="D976" s="206"/>
      <c r="E976" s="32"/>
      <c r="F976" s="206"/>
      <c r="G976" s="32"/>
      <c r="H976" s="32"/>
      <c r="I976" s="32"/>
      <c r="J976" s="207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206"/>
      <c r="D977" s="206"/>
      <c r="E977" s="32"/>
      <c r="F977" s="206"/>
      <c r="G977" s="32"/>
      <c r="H977" s="32"/>
      <c r="I977" s="32"/>
      <c r="J977" s="207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206"/>
      <c r="D978" s="206"/>
      <c r="E978" s="32"/>
      <c r="F978" s="206"/>
      <c r="G978" s="32"/>
      <c r="H978" s="32"/>
      <c r="I978" s="32"/>
      <c r="J978" s="207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206"/>
      <c r="D979" s="206"/>
      <c r="E979" s="32"/>
      <c r="F979" s="206"/>
      <c r="G979" s="32"/>
      <c r="H979" s="32"/>
      <c r="I979" s="32"/>
      <c r="J979" s="207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206"/>
      <c r="D980" s="206"/>
      <c r="E980" s="32"/>
      <c r="F980" s="206"/>
      <c r="G980" s="32"/>
      <c r="H980" s="32"/>
      <c r="I980" s="32"/>
      <c r="J980" s="207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206"/>
      <c r="D981" s="206"/>
      <c r="E981" s="32"/>
      <c r="F981" s="206"/>
      <c r="G981" s="32"/>
      <c r="H981" s="32"/>
      <c r="I981" s="32"/>
      <c r="J981" s="207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206"/>
      <c r="D982" s="206"/>
      <c r="E982" s="32"/>
      <c r="F982" s="206"/>
      <c r="G982" s="32"/>
      <c r="H982" s="32"/>
      <c r="I982" s="32"/>
      <c r="J982" s="207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206"/>
      <c r="D983" s="206"/>
      <c r="E983" s="32"/>
      <c r="F983" s="206"/>
      <c r="G983" s="32"/>
      <c r="H983" s="32"/>
      <c r="I983" s="32"/>
      <c r="J983" s="207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206"/>
      <c r="D984" s="206"/>
      <c r="E984" s="32"/>
      <c r="F984" s="206"/>
      <c r="G984" s="32"/>
      <c r="H984" s="32"/>
      <c r="I984" s="32"/>
      <c r="J984" s="207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206"/>
      <c r="D985" s="206"/>
      <c r="E985" s="32"/>
      <c r="F985" s="206"/>
      <c r="G985" s="32"/>
      <c r="H985" s="32"/>
      <c r="I985" s="32"/>
      <c r="J985" s="207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206"/>
      <c r="D986" s="206"/>
      <c r="E986" s="32"/>
      <c r="F986" s="206"/>
      <c r="G986" s="32"/>
      <c r="H986" s="32"/>
      <c r="I986" s="32"/>
      <c r="J986" s="207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206"/>
      <c r="D987" s="206"/>
      <c r="E987" s="32"/>
      <c r="F987" s="206"/>
      <c r="G987" s="32"/>
      <c r="H987" s="32"/>
      <c r="I987" s="32"/>
      <c r="J987" s="207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206"/>
      <c r="D988" s="206"/>
      <c r="E988" s="32"/>
      <c r="F988" s="206"/>
      <c r="G988" s="32"/>
      <c r="H988" s="32"/>
      <c r="I988" s="32"/>
      <c r="J988" s="207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206"/>
      <c r="D989" s="206"/>
      <c r="E989" s="32"/>
      <c r="F989" s="206"/>
      <c r="G989" s="32"/>
      <c r="H989" s="32"/>
      <c r="I989" s="32"/>
      <c r="J989" s="207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206"/>
      <c r="D990" s="206"/>
      <c r="E990" s="32"/>
      <c r="F990" s="206"/>
      <c r="G990" s="32"/>
      <c r="H990" s="32"/>
      <c r="I990" s="32"/>
      <c r="J990" s="207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206"/>
      <c r="D991" s="206"/>
      <c r="E991" s="32"/>
      <c r="F991" s="206"/>
      <c r="G991" s="32"/>
      <c r="H991" s="32"/>
      <c r="I991" s="32"/>
      <c r="J991" s="207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206"/>
      <c r="D992" s="206"/>
      <c r="E992" s="32"/>
      <c r="F992" s="206"/>
      <c r="G992" s="32"/>
      <c r="H992" s="32"/>
      <c r="I992" s="32"/>
      <c r="J992" s="207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206"/>
      <c r="D993" s="206"/>
      <c r="E993" s="32"/>
      <c r="F993" s="206"/>
      <c r="G993" s="32"/>
      <c r="H993" s="32"/>
      <c r="I993" s="32"/>
      <c r="J993" s="207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206"/>
      <c r="D994" s="206"/>
      <c r="E994" s="32"/>
      <c r="F994" s="206"/>
      <c r="G994" s="32"/>
      <c r="H994" s="32"/>
      <c r="I994" s="32"/>
      <c r="J994" s="207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206"/>
      <c r="D995" s="206"/>
      <c r="E995" s="32"/>
      <c r="F995" s="206"/>
      <c r="G995" s="32"/>
      <c r="H995" s="32"/>
      <c r="I995" s="32"/>
      <c r="J995" s="207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206"/>
      <c r="D996" s="206"/>
      <c r="E996" s="32"/>
      <c r="F996" s="206"/>
      <c r="G996" s="32"/>
      <c r="H996" s="32"/>
      <c r="I996" s="32"/>
      <c r="J996" s="207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206"/>
      <c r="D997" s="206"/>
      <c r="E997" s="32"/>
      <c r="F997" s="206"/>
      <c r="G997" s="32"/>
      <c r="H997" s="32"/>
      <c r="I997" s="32"/>
      <c r="J997" s="207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206"/>
      <c r="D998" s="206"/>
      <c r="E998" s="32"/>
      <c r="F998" s="206"/>
      <c r="G998" s="32"/>
      <c r="H998" s="32"/>
      <c r="I998" s="32"/>
      <c r="J998" s="207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206"/>
      <c r="D999" s="206"/>
      <c r="E999" s="32"/>
      <c r="F999" s="206"/>
      <c r="G999" s="32"/>
      <c r="H999" s="32"/>
      <c r="I999" s="32"/>
      <c r="J999" s="207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206"/>
      <c r="D1000" s="206"/>
      <c r="E1000" s="32"/>
      <c r="F1000" s="206"/>
      <c r="G1000" s="32"/>
      <c r="H1000" s="32"/>
      <c r="I1000" s="32"/>
      <c r="J1000" s="207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8">
    <mergeCell ref="C21:E21"/>
    <mergeCell ref="I21:K23"/>
    <mergeCell ref="C22:E22"/>
    <mergeCell ref="C23:G23"/>
    <mergeCell ref="B7:G7"/>
    <mergeCell ref="B8:G8"/>
    <mergeCell ref="I8:K8"/>
    <mergeCell ref="B9:G9"/>
    <mergeCell ref="I9:K9"/>
    <mergeCell ref="I10:K10"/>
    <mergeCell ref="B11:B29"/>
    <mergeCell ref="G27:G29"/>
    <mergeCell ref="G24:G25"/>
    <mergeCell ref="C26:G26"/>
    <mergeCell ref="I34:K35"/>
    <mergeCell ref="C35:G35"/>
    <mergeCell ref="I41:K43"/>
    <mergeCell ref="C42:E42"/>
    <mergeCell ref="C43:G43"/>
    <mergeCell ref="C27:E29"/>
    <mergeCell ref="F27:F29"/>
    <mergeCell ref="B31:B49"/>
    <mergeCell ref="C32:E32"/>
    <mergeCell ref="C33:E33"/>
    <mergeCell ref="C34:E34"/>
    <mergeCell ref="C41:E41"/>
    <mergeCell ref="G47:G49"/>
    <mergeCell ref="G64:G65"/>
    <mergeCell ref="C66:G66"/>
    <mergeCell ref="C44:E45"/>
    <mergeCell ref="F44:F45"/>
    <mergeCell ref="G44:G45"/>
    <mergeCell ref="C46:G46"/>
    <mergeCell ref="I54:K55"/>
    <mergeCell ref="C55:G55"/>
    <mergeCell ref="I61:K63"/>
    <mergeCell ref="F64:F65"/>
    <mergeCell ref="C67:E69"/>
    <mergeCell ref="F67:F69"/>
    <mergeCell ref="G67:G69"/>
    <mergeCell ref="B71:K71"/>
    <mergeCell ref="B72:K72"/>
    <mergeCell ref="C47:E49"/>
    <mergeCell ref="F47:F49"/>
    <mergeCell ref="B51:B69"/>
    <mergeCell ref="C51:E51"/>
    <mergeCell ref="C52:E52"/>
    <mergeCell ref="C53:E53"/>
    <mergeCell ref="C54:E54"/>
    <mergeCell ref="B2:K2"/>
    <mergeCell ref="B3:K3"/>
    <mergeCell ref="B5:G5"/>
    <mergeCell ref="I5:K5"/>
    <mergeCell ref="B6:G6"/>
    <mergeCell ref="I6:K6"/>
    <mergeCell ref="I7:K7"/>
    <mergeCell ref="B10:G10"/>
    <mergeCell ref="C12:E12"/>
    <mergeCell ref="C13:E13"/>
    <mergeCell ref="C14:E14"/>
    <mergeCell ref="I14:K15"/>
    <mergeCell ref="C15:G15"/>
    <mergeCell ref="C24:E25"/>
    <mergeCell ref="F24:F25"/>
    <mergeCell ref="C62:E62"/>
    <mergeCell ref="C63:G63"/>
    <mergeCell ref="C61:E61"/>
    <mergeCell ref="C64:E65"/>
  </mergeCells>
  <printOptions horizontalCentered="1"/>
  <pageMargins bottom="0.5" footer="0.0" header="0.0" left="0.25" right="0.25" top="0.75"/>
  <pageSetup orientation="portrait"/>
  <headerFooter>
    <oddFooter>&amp;LNote:  This working sheet will provide a rough idea of New Pension, Approximate amount of Differencial contribution and Interest etc., based on Inpt and other parameters.</oddFooter>
  </headerFooter>
  <drawing r:id="rId1"/>
</worksheet>
</file>