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12" i="1"/>
  <c r="B14" s="1"/>
  <c r="D22"/>
  <c r="D21"/>
  <c r="C21"/>
  <c r="D20"/>
  <c r="D19"/>
  <c r="F10"/>
  <c r="F12" s="1"/>
  <c r="F9"/>
  <c r="B10"/>
  <c r="B5"/>
</calcChain>
</file>

<file path=xl/sharedStrings.xml><?xml version="1.0" encoding="utf-8"?>
<sst xmlns="http://schemas.openxmlformats.org/spreadsheetml/2006/main" count="19" uniqueCount="19">
  <si>
    <t>New Pension (WEF Dec,24)</t>
  </si>
  <si>
    <t>Old Pension (wef 16/4/2019)</t>
  </si>
  <si>
    <t>Pension Increase</t>
  </si>
  <si>
    <t>No of Months From 16/4/2019</t>
  </si>
  <si>
    <t>Arrears Due</t>
  </si>
  <si>
    <t>Arrears Received</t>
  </si>
  <si>
    <t>Tax Calculation:</t>
  </si>
  <si>
    <t>Tax Deduction Calculation</t>
  </si>
  <si>
    <t>Difference in Tax</t>
  </si>
  <si>
    <t>Tax Upto Rs 250000</t>
  </si>
  <si>
    <t>250001 To 500000</t>
  </si>
  <si>
    <t>500001 To 1000000</t>
  </si>
  <si>
    <t>1000000 and Above</t>
  </si>
  <si>
    <t>Total Tax</t>
  </si>
  <si>
    <t>Calculations in the Message</t>
  </si>
  <si>
    <t>Calculations Which Seem to be Correct</t>
  </si>
  <si>
    <t>Tax Deducted As in Form 26AS</t>
  </si>
  <si>
    <t>As Per Message</t>
  </si>
  <si>
    <t>(Taking 16 days instead of 15 days)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</si>
</sst>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1" applyNumberFormat="1" applyFont="1"/>
    <xf numFmtId="0" fontId="0" fillId="0" borderId="1" xfId="0" applyBorder="1"/>
    <xf numFmtId="165" fontId="0" fillId="0" borderId="1" xfId="1" applyNumberFormat="1" applyFont="1" applyBorder="1"/>
    <xf numFmtId="164" fontId="0" fillId="0" borderId="1" xfId="1" applyNumberFormat="1" applyFont="1" applyBorder="1"/>
    <xf numFmtId="0" fontId="2" fillId="0" borderId="0" xfId="0" applyFont="1"/>
    <xf numFmtId="43" fontId="0" fillId="0" borderId="1" xfId="0" applyNumberFormat="1" applyBorder="1"/>
    <xf numFmtId="0" fontId="2" fillId="0" borderId="1" xfId="0" applyFont="1" applyBorder="1"/>
    <xf numFmtId="165" fontId="2" fillId="0" borderId="1" xfId="1" applyNumberFormat="1" applyFont="1" applyBorder="1"/>
    <xf numFmtId="0" fontId="3" fillId="0" borderId="1" xfId="0" applyFont="1" applyBorder="1"/>
    <xf numFmtId="165" fontId="3" fillId="0" borderId="1" xfId="1" applyNumberFormat="1" applyFont="1" applyBorder="1"/>
    <xf numFmtId="9" fontId="0" fillId="0" borderId="1" xfId="2" applyFont="1" applyBorder="1"/>
    <xf numFmtId="0" fontId="2" fillId="0" borderId="2" xfId="0" applyFont="1" applyBorder="1"/>
    <xf numFmtId="165" fontId="2" fillId="0" borderId="2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>
      <selection sqref="A1:F1"/>
    </sheetView>
  </sheetViews>
  <sheetFormatPr defaultRowHeight="14.4"/>
  <cols>
    <col min="1" max="1" width="26.44140625" bestFit="1" customWidth="1"/>
    <col min="2" max="2" width="11.33203125" style="1" customWidth="1"/>
    <col min="3" max="4" width="11.109375" bestFit="1" customWidth="1"/>
    <col min="5" max="6" width="12.5546875" bestFit="1" customWidth="1"/>
  </cols>
  <sheetData>
    <row r="1" spans="1:7">
      <c r="A1" s="5" t="s">
        <v>17</v>
      </c>
    </row>
    <row r="3" spans="1:7">
      <c r="A3" s="2" t="s">
        <v>0</v>
      </c>
      <c r="B3" s="3">
        <v>22518</v>
      </c>
    </row>
    <row r="4" spans="1:7">
      <c r="A4" s="2" t="s">
        <v>1</v>
      </c>
      <c r="B4" s="3">
        <v>3576</v>
      </c>
    </row>
    <row r="5" spans="1:7">
      <c r="A5" s="2" t="s">
        <v>2</v>
      </c>
      <c r="B5" s="3">
        <f>B3-B4</f>
        <v>18942</v>
      </c>
    </row>
    <row r="7" spans="1:7" s="5" customFormat="1">
      <c r="A7" s="7" t="s">
        <v>14</v>
      </c>
      <c r="B7" s="8"/>
      <c r="D7" s="7" t="s">
        <v>15</v>
      </c>
      <c r="E7" s="7"/>
      <c r="F7" s="7"/>
    </row>
    <row r="8" spans="1:7">
      <c r="A8" s="2"/>
      <c r="B8" s="3"/>
    </row>
    <row r="9" spans="1:7">
      <c r="A9" s="2" t="s">
        <v>3</v>
      </c>
      <c r="B9" s="4">
        <v>68.5</v>
      </c>
      <c r="F9" s="2">
        <f>68+(16/30)</f>
        <v>68.533333333333331</v>
      </c>
      <c r="G9" t="s">
        <v>18</v>
      </c>
    </row>
    <row r="10" spans="1:7">
      <c r="A10" s="2" t="s">
        <v>4</v>
      </c>
      <c r="B10" s="3">
        <f>B5*B9</f>
        <v>1297527</v>
      </c>
      <c r="F10" s="6">
        <f>B5*F9</f>
        <v>1298158.3999999999</v>
      </c>
    </row>
    <row r="11" spans="1:7">
      <c r="A11" s="9" t="s">
        <v>5</v>
      </c>
      <c r="B11" s="10">
        <v>1096210</v>
      </c>
      <c r="F11" s="2"/>
    </row>
    <row r="12" spans="1:7">
      <c r="A12" s="2" t="s">
        <v>7</v>
      </c>
      <c r="B12" s="3">
        <f>B10-B11</f>
        <v>201317</v>
      </c>
      <c r="F12" s="6">
        <f>F10-B11</f>
        <v>201948.39999999991</v>
      </c>
    </row>
    <row r="13" spans="1:7">
      <c r="A13" s="9" t="s">
        <v>16</v>
      </c>
      <c r="B13" s="10">
        <v>201948</v>
      </c>
    </row>
    <row r="14" spans="1:7">
      <c r="A14" s="2" t="s">
        <v>8</v>
      </c>
      <c r="B14" s="3">
        <f>B13-B12</f>
        <v>631</v>
      </c>
    </row>
    <row r="16" spans="1:7">
      <c r="A16" s="5" t="s">
        <v>6</v>
      </c>
    </row>
    <row r="18" spans="1:4">
      <c r="A18" s="2" t="s">
        <v>9</v>
      </c>
      <c r="B18" s="3">
        <v>0</v>
      </c>
      <c r="C18" s="2"/>
      <c r="D18" s="2">
        <v>0</v>
      </c>
    </row>
    <row r="19" spans="1:4">
      <c r="A19" s="2" t="s">
        <v>10</v>
      </c>
      <c r="B19" s="11">
        <v>0.05</v>
      </c>
      <c r="C19" s="3">
        <v>250000</v>
      </c>
      <c r="D19" s="3">
        <f>C19*B19</f>
        <v>12500</v>
      </c>
    </row>
    <row r="20" spans="1:4">
      <c r="A20" s="2" t="s">
        <v>11</v>
      </c>
      <c r="B20" s="11">
        <v>0.2</v>
      </c>
      <c r="C20" s="3">
        <v>500000</v>
      </c>
      <c r="D20" s="3">
        <f>C20*B20</f>
        <v>100000</v>
      </c>
    </row>
    <row r="21" spans="1:4">
      <c r="A21" s="2" t="s">
        <v>12</v>
      </c>
      <c r="B21" s="11">
        <v>0.3</v>
      </c>
      <c r="C21" s="3">
        <f>1298158-1000000</f>
        <v>298158</v>
      </c>
      <c r="D21" s="3">
        <f>B21*C21</f>
        <v>89447.4</v>
      </c>
    </row>
    <row r="22" spans="1:4">
      <c r="C22" s="12" t="s">
        <v>13</v>
      </c>
      <c r="D22" s="13">
        <f>SUM(D18:D21)</f>
        <v>201947.4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aakashmorya2019@gmail.com</dc:creator>
  <cp:lastModifiedBy>aakashmorya2019@gmail.com</cp:lastModifiedBy>
  <dcterms:created xsi:type="dcterms:W3CDTF">2025-07-13T08:21:28Z</dcterms:created>
  <dcterms:modified xsi:type="dcterms:W3CDTF">2025-07-13T08:47:32Z</dcterms:modified>
</cp:coreProperties>
</file>