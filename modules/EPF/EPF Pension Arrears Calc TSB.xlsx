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816"/>
  </bookViews>
  <sheets>
    <sheet name="TSB" sheetId="1" r:id="rId1"/>
    <sheet name="TSB (old)" sheetId="4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18" i="1" l="1"/>
  <c r="F15" i="1"/>
  <c r="N12" i="1" l="1"/>
  <c r="J12" i="1"/>
  <c r="Q15" i="1"/>
  <c r="Q21" i="1" s="1"/>
  <c r="Q22" i="1" s="1"/>
  <c r="Q30" i="1"/>
  <c r="Q29" i="1"/>
  <c r="Q28" i="1"/>
  <c r="P25" i="1"/>
  <c r="Q31" i="1" s="1"/>
  <c r="Q33" i="1" s="1"/>
  <c r="Q35" i="1" s="1"/>
  <c r="N11" i="1" s="1"/>
  <c r="P24" i="1"/>
  <c r="Q20" i="1"/>
  <c r="Q19" i="1"/>
  <c r="Q18" i="1"/>
  <c r="Q17" i="1"/>
  <c r="Q37" i="1" l="1"/>
  <c r="F10" i="1" l="1"/>
  <c r="J8" i="1" l="1"/>
  <c r="J7" i="1"/>
  <c r="L8" i="1" l="1"/>
  <c r="L7" i="1"/>
  <c r="J9" i="1"/>
  <c r="L12" i="1"/>
  <c r="M5" i="1"/>
  <c r="L9" i="1" l="1"/>
  <c r="J10" i="1"/>
  <c r="F9" i="1"/>
  <c r="L10" i="1" l="1"/>
  <c r="J11" i="1"/>
  <c r="L11" i="1" l="1"/>
  <c r="N13" i="1"/>
  <c r="F11" i="1" s="1"/>
  <c r="J13" i="1"/>
  <c r="C18" i="4"/>
  <c r="C19" i="4" s="1"/>
  <c r="F17" i="4"/>
  <c r="K16" i="4"/>
  <c r="K17" i="4" s="1"/>
  <c r="F16" i="4"/>
  <c r="K21" i="4" s="1"/>
  <c r="C15" i="4"/>
  <c r="C12" i="4"/>
  <c r="E9" i="4"/>
  <c r="E10" i="4" s="1"/>
  <c r="D9" i="4"/>
  <c r="E8" i="4"/>
  <c r="E7" i="4"/>
  <c r="E6" i="4"/>
  <c r="E5" i="4"/>
  <c r="E4" i="4"/>
  <c r="E3" i="4"/>
  <c r="C3" i="1"/>
  <c r="F12" i="1" l="1"/>
  <c r="M22" i="1"/>
  <c r="C13" i="4"/>
  <c r="D12" i="4"/>
  <c r="E12" i="4"/>
  <c r="K18" i="4"/>
  <c r="K19" i="4" s="1"/>
  <c r="K23" i="4" s="1"/>
  <c r="K24" i="4" s="1"/>
  <c r="K25" i="4" s="1"/>
  <c r="C20" i="4"/>
  <c r="C21" i="4" s="1"/>
  <c r="F19" i="4" s="1"/>
  <c r="F20" i="4" s="1"/>
  <c r="F21" i="4" s="1"/>
  <c r="F17" i="1" l="1"/>
  <c r="F3" i="1" s="1"/>
  <c r="F4" i="1" s="1"/>
  <c r="F19" i="1" s="1"/>
  <c r="F21" i="1"/>
  <c r="F22" i="1" s="1"/>
</calcChain>
</file>

<file path=xl/sharedStrings.xml><?xml version="1.0" encoding="utf-8"?>
<sst xmlns="http://schemas.openxmlformats.org/spreadsheetml/2006/main" count="108" uniqueCount="88">
  <si>
    <t>Period</t>
  </si>
  <si>
    <t>Jan-Jun,17</t>
  </si>
  <si>
    <t>Jul17-Jun18</t>
  </si>
  <si>
    <t>Jul18-Jun19</t>
  </si>
  <si>
    <t>Jul19-Jun20</t>
  </si>
  <si>
    <t>Jul20-Jun21</t>
  </si>
  <si>
    <t>Jul21-Dec21</t>
  </si>
  <si>
    <t>Average</t>
  </si>
  <si>
    <t>Case 1 :</t>
  </si>
  <si>
    <t>Case2</t>
  </si>
  <si>
    <t>EPF Higher Pensioon</t>
  </si>
  <si>
    <t>Yearly</t>
  </si>
  <si>
    <t>Amount 4.5 Years</t>
  </si>
  <si>
    <t xml:space="preserve">Tax @30% </t>
  </si>
  <si>
    <t>Net</t>
  </si>
  <si>
    <t xml:space="preserve">FD Interest Per Month </t>
  </si>
  <si>
    <t>Total Amount</t>
  </si>
  <si>
    <t>No of Months Reqd to Recover Rs 33 Lakh</t>
  </si>
  <si>
    <t>No of Years Reqd to Recover Rs 33 Lakh</t>
  </si>
  <si>
    <t>Balance Amount to Be Recovered From Pension</t>
  </si>
  <si>
    <t>Difference of Pension and FD Interest</t>
  </si>
  <si>
    <t>Excess Pension wrt Original Pension</t>
  </si>
  <si>
    <t>Excess Pension Received wrt Original Pension Per Month</t>
  </si>
  <si>
    <t>Arrears Received Yearly</t>
  </si>
  <si>
    <t xml:space="preserve">Net Arrears Received </t>
  </si>
  <si>
    <t>Total Amount To Be Given To EPF</t>
  </si>
  <si>
    <t>EPF Higher Pension As Per SC Rule</t>
  </si>
  <si>
    <t>Assumption1</t>
  </si>
  <si>
    <t>EPF Pension Arrears Calculation</t>
  </si>
  <si>
    <t>Net Amount Given To EPF</t>
  </si>
  <si>
    <t>Arrears Amount 2019-20</t>
  </si>
  <si>
    <t>Arrears Amount 2020-21</t>
  </si>
  <si>
    <t>Arrears Amount 2021-22</t>
  </si>
  <si>
    <t>Arrears Amount 2022-23</t>
  </si>
  <si>
    <t>Arrears Amount 2023-24</t>
  </si>
  <si>
    <t>Arrears Amount 2024-25</t>
  </si>
  <si>
    <t>Tax Slabs</t>
  </si>
  <si>
    <t>Above  15L 30%</t>
  </si>
  <si>
    <t>Rs. 2,50,001 to Rs 5,00,000</t>
  </si>
  <si>
    <t>Rs. 5,00,001 to Rs. 7,50,000</t>
  </si>
  <si>
    <t>Rs. 7,50,001 to Rs. 10,00,000</t>
  </si>
  <si>
    <t>Rs. 10,00,001 to Rs. 12,50,000</t>
  </si>
  <si>
    <t>Rs. 12,50,001 to Rs. 15,00,000</t>
  </si>
  <si>
    <t>Above Rs. 15,00,000</t>
  </si>
  <si>
    <t>2022-23</t>
  </si>
  <si>
    <t>New Regime</t>
  </si>
  <si>
    <t>Old Regime</t>
  </si>
  <si>
    <t>Rs. 5,00,001 to Rs. 10,00,000</t>
  </si>
  <si>
    <t>Above Rs. 10,00,000</t>
  </si>
  <si>
    <t>2023-24 (New Regime)</t>
  </si>
  <si>
    <t>Total</t>
  </si>
  <si>
    <t>Total (A+B)</t>
  </si>
  <si>
    <t>Tax</t>
  </si>
  <si>
    <t>Income From Arrears (A)</t>
  </si>
  <si>
    <t>Tax Slab Applicable</t>
  </si>
  <si>
    <t>Taxable Income in IT Return (B)</t>
  </si>
  <si>
    <t xml:space="preserve">Income Tax Paid @20-30% </t>
  </si>
  <si>
    <t>6L to 9L: 10%</t>
  </si>
  <si>
    <t>9L to 12L: 15%</t>
  </si>
  <si>
    <t>12L to 15L: 20%</t>
  </si>
  <si>
    <t>Arrears Received in 4 Years 8  months</t>
  </si>
  <si>
    <t>The proposed tax slabs are as follows:</t>
  </si>
  <si>
    <t>₹3,00,001 - ₹7,00,000: 5%</t>
  </si>
  <si>
    <t>₹7,00,001 - ₹10,00,000: 10%</t>
  </si>
  <si>
    <t>₹10,00,001 - ₹12,00,000: 15%</t>
  </si>
  <si>
    <t>₹12,00,001 - ₹15,00,000: 20%</t>
  </si>
  <si>
    <t>₹15,00,001 and above: 30%.</t>
  </si>
  <si>
    <t>Net Arrears Received</t>
  </si>
  <si>
    <t>FD Interest Gained Per Month on Above Amount @8%</t>
  </si>
  <si>
    <t>FD Interest Lost Per Month on Above Amount @8%</t>
  </si>
  <si>
    <t>3L to 6L: 5%</t>
  </si>
  <si>
    <t>Total Tax</t>
  </si>
  <si>
    <t>Tax(2024-25)</t>
  </si>
  <si>
    <t>Rate</t>
  </si>
  <si>
    <t>Tax(2023-24)</t>
  </si>
  <si>
    <t>Tax Slabs 2024-25 (New Regime) Budget</t>
  </si>
  <si>
    <t xml:space="preserve">Tax Slabs 2024-25 (New Regime) </t>
  </si>
  <si>
    <t>Tax Paid Already</t>
  </si>
  <si>
    <t>Grand Total Tax Arrears</t>
  </si>
  <si>
    <t>Expected Net Arrears Amount Receivable for 2024-25</t>
  </si>
  <si>
    <t>Is Bifurcation Allowed?</t>
  </si>
  <si>
    <t>No of Months Reqd to Recover Rs 35.5 Lakh</t>
  </si>
  <si>
    <t>No of Years Reqd to Recover Rs 35.5 Lakh</t>
  </si>
  <si>
    <t>Total Tax (2024-25) On Arrears</t>
  </si>
  <si>
    <t>Taxable Amount 2023-24 (Including ITR Already Filed)</t>
  </si>
  <si>
    <t>Net Tax Payable (2023-24)</t>
  </si>
  <si>
    <t>(Here Assuming Pension of 41563)</t>
  </si>
  <si>
    <t>Difference of Higher Pension and FD Interest wef 01/09/2024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</si>
</sst>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 * #,##0_ ;_ * \-#,##0_ ;_ * &quot;-&quot;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43" fontId="0" fillId="0" borderId="0" xfId="0" applyNumberFormat="1" applyAlignment="1">
      <alignment vertical="top"/>
    </xf>
    <xf numFmtId="43" fontId="0" fillId="0" borderId="0" xfId="1" applyNumberFormat="1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164" fontId="0" fillId="0" borderId="1" xfId="1" applyNumberFormat="1" applyFont="1" applyBorder="1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1" xfId="0" applyFont="1" applyBorder="1" applyAlignment="1">
      <alignment horizontal="right" vertical="top"/>
    </xf>
    <xf numFmtId="41" fontId="0" fillId="0" borderId="1" xfId="1" applyNumberFormat="1" applyFont="1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4" fillId="0" borderId="1" xfId="1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5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164" fontId="3" fillId="0" borderId="1" xfId="1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9" fontId="7" fillId="2" borderId="2" xfId="0" applyNumberFormat="1" applyFont="1" applyFill="1" applyBorder="1" applyAlignment="1">
      <alignment horizontal="center" vertical="top" wrapText="1"/>
    </xf>
    <xf numFmtId="9" fontId="0" fillId="0" borderId="1" xfId="0" applyNumberFormat="1" applyBorder="1" applyAlignment="1">
      <alignment vertical="top"/>
    </xf>
    <xf numFmtId="9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3" fontId="8" fillId="0" borderId="0" xfId="0" applyNumberFormat="1" applyFont="1"/>
    <xf numFmtId="0" fontId="2" fillId="0" borderId="1" xfId="0" applyFont="1" applyBorder="1" applyAlignment="1">
      <alignment vertical="top" wrapText="1"/>
    </xf>
    <xf numFmtId="164" fontId="2" fillId="0" borderId="1" xfId="1" applyNumberFormat="1" applyFont="1" applyBorder="1" applyAlignment="1">
      <alignment vertical="top" wrapText="1"/>
    </xf>
    <xf numFmtId="164" fontId="2" fillId="0" borderId="1" xfId="1" applyNumberFormat="1" applyFont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9" fontId="7" fillId="2" borderId="4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9" fontId="7" fillId="2" borderId="1" xfId="0" applyNumberFormat="1" applyFont="1" applyFill="1" applyBorder="1" applyAlignment="1">
      <alignment horizontal="center" vertical="top" wrapText="1"/>
    </xf>
    <xf numFmtId="164" fontId="7" fillId="2" borderId="1" xfId="1" applyNumberFormat="1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41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1" xfId="0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7" fillId="2" borderId="6" xfId="0" applyFont="1" applyFill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top"/>
    </xf>
    <xf numFmtId="0" fontId="9" fillId="0" borderId="7" xfId="0" applyFont="1" applyBorder="1" applyAlignment="1">
      <alignment vertical="center" wrapText="1"/>
    </xf>
    <xf numFmtId="0" fontId="0" fillId="0" borderId="7" xfId="0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164" fontId="0" fillId="0" borderId="9" xfId="0" applyNumberFormat="1" applyBorder="1" applyAlignment="1">
      <alignment horizontal="center" vertical="top" wrapText="1"/>
    </xf>
    <xf numFmtId="164" fontId="0" fillId="0" borderId="10" xfId="0" applyNumberForma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/>
    </xf>
    <xf numFmtId="164" fontId="0" fillId="0" borderId="11" xfId="0" applyNumberFormat="1" applyBorder="1" applyAlignment="1">
      <alignment vertical="top"/>
    </xf>
    <xf numFmtId="164" fontId="2" fillId="0" borderId="0" xfId="0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E1" zoomScale="99" zoomScaleNormal="99" workbookViewId="0">
      <selection activeCell="F18" sqref="F18"/>
    </sheetView>
  </sheetViews>
  <sheetFormatPr defaultRowHeight="14.4" x14ac:dyDescent="0.3"/>
  <cols>
    <col min="1" max="1" width="8.88671875" style="1"/>
    <col min="2" max="2" width="26" style="3" customWidth="1"/>
    <col min="3" max="3" width="11.33203125" style="2" customWidth="1"/>
    <col min="4" max="4" width="10.6640625" style="1" customWidth="1"/>
    <col min="5" max="5" width="33.77734375" style="3" customWidth="1"/>
    <col min="6" max="6" width="11" style="2" bestFit="1" customWidth="1"/>
    <col min="7" max="7" width="9.77734375" style="1" bestFit="1" customWidth="1"/>
    <col min="8" max="8" width="8.88671875" style="1"/>
    <col min="9" max="9" width="29.6640625" style="1" customWidth="1"/>
    <col min="10" max="10" width="11" style="1" bestFit="1" customWidth="1"/>
    <col min="11" max="11" width="8.88671875" style="1"/>
    <col min="12" max="12" width="11.109375" style="2" bestFit="1" customWidth="1"/>
    <col min="13" max="13" width="10.5546875" style="1" bestFit="1" customWidth="1"/>
    <col min="14" max="14" width="11.33203125" style="1" customWidth="1"/>
    <col min="15" max="15" width="28.77734375" style="1" customWidth="1"/>
    <col min="16" max="17" width="9.88671875" style="1" bestFit="1" customWidth="1"/>
    <col min="18" max="16384" width="8.88671875" style="1"/>
  </cols>
  <sheetData>
    <row r="1" spans="1:17" ht="18" x14ac:dyDescent="0.3">
      <c r="D1" s="23" t="s">
        <v>28</v>
      </c>
      <c r="E1" s="1"/>
      <c r="F1" s="1"/>
    </row>
    <row r="2" spans="1:17" x14ac:dyDescent="0.3">
      <c r="B2" s="1"/>
      <c r="C2" s="1"/>
      <c r="E2" s="1"/>
      <c r="F2" s="1"/>
    </row>
    <row r="3" spans="1:17" ht="31.2" x14ac:dyDescent="0.3">
      <c r="A3" s="8"/>
      <c r="B3" s="24" t="s">
        <v>26</v>
      </c>
      <c r="C3" s="25">
        <f>152000*26/70</f>
        <v>56457.142857142855</v>
      </c>
      <c r="E3" s="26" t="s">
        <v>29</v>
      </c>
      <c r="F3" s="25">
        <f>F17</f>
        <v>1757999.9999999998</v>
      </c>
      <c r="H3" s="22"/>
      <c r="I3" s="26" t="s">
        <v>25</v>
      </c>
      <c r="J3" s="25">
        <v>3550000</v>
      </c>
    </row>
    <row r="4" spans="1:17" ht="28.8" x14ac:dyDescent="0.3">
      <c r="C4" s="1"/>
      <c r="E4" s="28" t="s">
        <v>69</v>
      </c>
      <c r="F4" s="21">
        <f>(F3*POWER((1+8/400),4)-F3)/12</f>
        <v>12076.311439999999</v>
      </c>
      <c r="H4" s="22"/>
      <c r="I4" s="20"/>
      <c r="J4" s="21"/>
      <c r="M4" s="2"/>
    </row>
    <row r="5" spans="1:17" x14ac:dyDescent="0.3">
      <c r="E5" s="1"/>
      <c r="F5" s="1"/>
      <c r="H5" s="22"/>
      <c r="M5" s="6">
        <f>M4/12</f>
        <v>0</v>
      </c>
    </row>
    <row r="6" spans="1:17" ht="72" x14ac:dyDescent="0.3">
      <c r="B6" s="27"/>
      <c r="E6" s="27" t="s">
        <v>27</v>
      </c>
      <c r="I6" s="8"/>
      <c r="J6" s="38" t="s">
        <v>53</v>
      </c>
      <c r="K6" s="40" t="s">
        <v>55</v>
      </c>
      <c r="L6" s="34" t="s">
        <v>51</v>
      </c>
      <c r="M6" s="38" t="s">
        <v>54</v>
      </c>
      <c r="N6" s="34" t="s">
        <v>52</v>
      </c>
    </row>
    <row r="7" spans="1:17" x14ac:dyDescent="0.3">
      <c r="A7" s="8"/>
      <c r="I7" s="8" t="s">
        <v>30</v>
      </c>
      <c r="J7" s="16">
        <f>F8*3</f>
        <v>111000</v>
      </c>
      <c r="K7" s="10"/>
      <c r="L7" s="16">
        <f>J7+K7</f>
        <v>111000</v>
      </c>
      <c r="M7" s="31">
        <v>0.3</v>
      </c>
      <c r="N7" s="58" t="s">
        <v>80</v>
      </c>
    </row>
    <row r="8" spans="1:17" ht="57.6" x14ac:dyDescent="0.3">
      <c r="B8" s="19"/>
      <c r="C8" s="18"/>
      <c r="E8" s="19" t="s">
        <v>22</v>
      </c>
      <c r="F8" s="18">
        <v>37000</v>
      </c>
      <c r="G8" s="3" t="s">
        <v>86</v>
      </c>
      <c r="I8" s="8" t="s">
        <v>31</v>
      </c>
      <c r="J8" s="16">
        <f>F8*12</f>
        <v>444000</v>
      </c>
      <c r="K8" s="10"/>
      <c r="L8" s="16">
        <f>J8+K8</f>
        <v>444000</v>
      </c>
      <c r="M8" s="31">
        <v>0.3</v>
      </c>
      <c r="N8" s="59"/>
      <c r="O8" s="29"/>
    </row>
    <row r="9" spans="1:17" x14ac:dyDescent="0.3">
      <c r="B9" s="12"/>
      <c r="C9" s="13"/>
      <c r="E9" s="12" t="s">
        <v>23</v>
      </c>
      <c r="F9" s="13">
        <f>F8*12</f>
        <v>444000</v>
      </c>
      <c r="I9" s="8" t="s">
        <v>32</v>
      </c>
      <c r="J9" s="16">
        <f>J8</f>
        <v>444000</v>
      </c>
      <c r="K9" s="10"/>
      <c r="L9" s="16">
        <f t="shared" ref="L9:L12" si="0">J9+K9</f>
        <v>444000</v>
      </c>
      <c r="M9" s="31">
        <v>0.3</v>
      </c>
      <c r="N9" s="59"/>
    </row>
    <row r="10" spans="1:17" x14ac:dyDescent="0.3">
      <c r="B10" s="14"/>
      <c r="C10" s="10"/>
      <c r="E10" s="9" t="s">
        <v>60</v>
      </c>
      <c r="F10" s="10">
        <f>F9*(4+8/12)</f>
        <v>2072000.0000000002</v>
      </c>
      <c r="I10" s="8" t="s">
        <v>33</v>
      </c>
      <c r="J10" s="16">
        <f>J9</f>
        <v>444000</v>
      </c>
      <c r="K10" s="10">
        <v>279748</v>
      </c>
      <c r="L10" s="16">
        <f t="shared" si="0"/>
        <v>723748</v>
      </c>
      <c r="M10" s="31">
        <v>0.3</v>
      </c>
      <c r="N10" s="60"/>
      <c r="O10" s="1" t="s">
        <v>46</v>
      </c>
    </row>
    <row r="11" spans="1:17" x14ac:dyDescent="0.3">
      <c r="B11" s="9"/>
      <c r="C11" s="10"/>
      <c r="E11" s="9" t="s">
        <v>56</v>
      </c>
      <c r="F11" s="10">
        <f>ROUND(N13,-4)</f>
        <v>280000</v>
      </c>
      <c r="I11" s="8" t="s">
        <v>34</v>
      </c>
      <c r="J11" s="16">
        <f>J10</f>
        <v>444000</v>
      </c>
      <c r="K11" s="10">
        <v>848706</v>
      </c>
      <c r="L11" s="16">
        <f t="shared" si="0"/>
        <v>1292706</v>
      </c>
      <c r="M11" s="31">
        <v>0.25</v>
      </c>
      <c r="N11" s="16">
        <f>Q35</f>
        <v>66480.2</v>
      </c>
      <c r="O11" s="1" t="s">
        <v>45</v>
      </c>
    </row>
    <row r="12" spans="1:17" x14ac:dyDescent="0.25">
      <c r="B12" s="9"/>
      <c r="C12" s="10"/>
      <c r="E12" s="9" t="s">
        <v>24</v>
      </c>
      <c r="F12" s="10">
        <f>F10-F11</f>
        <v>1792000.0000000002</v>
      </c>
      <c r="I12" s="8" t="s">
        <v>35</v>
      </c>
      <c r="J12" s="16">
        <f>F8*8</f>
        <v>296000</v>
      </c>
      <c r="K12" s="37">
        <v>428272</v>
      </c>
      <c r="L12" s="16">
        <f t="shared" si="0"/>
        <v>724272</v>
      </c>
      <c r="M12" s="32">
        <v>0.3</v>
      </c>
      <c r="N12" s="33">
        <f>Q22</f>
        <v>211700</v>
      </c>
      <c r="O12" s="1" t="s">
        <v>45</v>
      </c>
    </row>
    <row r="13" spans="1:17" x14ac:dyDescent="0.3">
      <c r="E13" s="9"/>
      <c r="F13" s="16"/>
      <c r="I13" s="34" t="s">
        <v>50</v>
      </c>
      <c r="J13" s="35">
        <f>SUM(J7:J12)</f>
        <v>2183000</v>
      </c>
      <c r="K13" s="18"/>
      <c r="L13" s="34"/>
      <c r="M13" s="34"/>
      <c r="N13" s="35">
        <f>SUM(N7:N12)</f>
        <v>278180.2</v>
      </c>
    </row>
    <row r="14" spans="1:17" ht="15" thickBot="1" x14ac:dyDescent="0.35">
      <c r="B14" s="14"/>
      <c r="C14" s="10"/>
      <c r="G14" s="47"/>
      <c r="M14" s="67"/>
      <c r="N14" s="67"/>
    </row>
    <row r="15" spans="1:17" ht="29.4" thickBot="1" x14ac:dyDescent="0.35">
      <c r="B15" s="8"/>
      <c r="C15" s="8"/>
      <c r="E15" s="14" t="s">
        <v>87</v>
      </c>
      <c r="F15" s="16">
        <f>ROUND(41563-F4,-3)</f>
        <v>29000</v>
      </c>
      <c r="I15" s="36" t="s">
        <v>36</v>
      </c>
      <c r="O15" s="64" t="s">
        <v>79</v>
      </c>
      <c r="P15" s="65"/>
      <c r="Q15" s="66">
        <f>SUM(J7:J10)+J12</f>
        <v>1739000</v>
      </c>
    </row>
    <row r="16" spans="1:17" ht="28.8" x14ac:dyDescent="0.3">
      <c r="B16" s="14"/>
      <c r="C16" s="10"/>
      <c r="E16" s="9"/>
      <c r="F16" s="8"/>
      <c r="I16" s="34" t="s">
        <v>49</v>
      </c>
      <c r="J16" s="34" t="s">
        <v>44</v>
      </c>
      <c r="K16" s="38" t="s">
        <v>45</v>
      </c>
      <c r="L16" s="10"/>
      <c r="M16" s="39" t="s">
        <v>46</v>
      </c>
      <c r="O16" s="61" t="s">
        <v>75</v>
      </c>
      <c r="P16" s="62" t="s">
        <v>73</v>
      </c>
      <c r="Q16" s="63" t="s">
        <v>72</v>
      </c>
    </row>
    <row r="17" spans="2:17" ht="30.6" customHeight="1" x14ac:dyDescent="0.3">
      <c r="B17" s="14"/>
      <c r="C17" s="10"/>
      <c r="E17" s="14" t="s">
        <v>19</v>
      </c>
      <c r="F17" s="16">
        <f>J3-F12</f>
        <v>1757999.9999999998</v>
      </c>
      <c r="I17" s="8" t="s">
        <v>57</v>
      </c>
      <c r="J17" s="43" t="s">
        <v>38</v>
      </c>
      <c r="K17" s="44">
        <v>0.05</v>
      </c>
      <c r="L17" s="45" t="s">
        <v>38</v>
      </c>
      <c r="M17" s="44">
        <v>0.05</v>
      </c>
      <c r="O17" s="54" t="s">
        <v>62</v>
      </c>
      <c r="P17" s="31">
        <v>0.05</v>
      </c>
      <c r="Q17" s="10">
        <f>400000*5%</f>
        <v>20000</v>
      </c>
    </row>
    <row r="18" spans="2:17" ht="30.6" customHeight="1" x14ac:dyDescent="0.3">
      <c r="B18" s="14"/>
      <c r="C18" s="10"/>
      <c r="E18" s="14" t="s">
        <v>81</v>
      </c>
      <c r="F18" s="17">
        <f>F17/(F15)</f>
        <v>60.620689655172406</v>
      </c>
      <c r="I18" s="8" t="s">
        <v>58</v>
      </c>
      <c r="J18" s="43" t="s">
        <v>39</v>
      </c>
      <c r="K18" s="44">
        <v>0.1</v>
      </c>
      <c r="L18" s="45" t="s">
        <v>47</v>
      </c>
      <c r="M18" s="44">
        <v>0.2</v>
      </c>
      <c r="N18" s="51"/>
      <c r="O18" s="54" t="s">
        <v>63</v>
      </c>
      <c r="P18" s="31">
        <v>0.1</v>
      </c>
      <c r="Q18" s="10">
        <f>300000*10%</f>
        <v>30000</v>
      </c>
    </row>
    <row r="19" spans="2:17" ht="30.6" customHeight="1" x14ac:dyDescent="0.3">
      <c r="E19" s="14" t="s">
        <v>82</v>
      </c>
      <c r="F19" s="17">
        <f>F18/12</f>
        <v>5.0517241379310338</v>
      </c>
      <c r="I19" s="8" t="s">
        <v>59</v>
      </c>
      <c r="J19" s="43" t="s">
        <v>40</v>
      </c>
      <c r="K19" s="44">
        <v>0.15</v>
      </c>
      <c r="L19" s="45" t="s">
        <v>48</v>
      </c>
      <c r="M19" s="44">
        <v>0.3</v>
      </c>
      <c r="O19" s="54" t="s">
        <v>64</v>
      </c>
      <c r="P19" s="31">
        <v>0.15</v>
      </c>
      <c r="Q19" s="10">
        <f>200000*15%</f>
        <v>30000</v>
      </c>
    </row>
    <row r="20" spans="2:17" ht="30.6" customHeight="1" x14ac:dyDescent="0.3">
      <c r="I20" s="8" t="s">
        <v>37</v>
      </c>
      <c r="J20" s="46" t="s">
        <v>41</v>
      </c>
      <c r="K20" s="42">
        <v>0.2</v>
      </c>
      <c r="O20" s="54" t="s">
        <v>65</v>
      </c>
      <c r="P20" s="31">
        <v>0.2</v>
      </c>
      <c r="Q20" s="10">
        <f>300000*20%</f>
        <v>60000</v>
      </c>
    </row>
    <row r="21" spans="2:17" ht="30.6" customHeight="1" x14ac:dyDescent="0.3">
      <c r="E21" s="49" t="s">
        <v>67</v>
      </c>
      <c r="F21" s="10">
        <f>F12</f>
        <v>1792000.0000000002</v>
      </c>
      <c r="I21" s="52" t="s">
        <v>61</v>
      </c>
      <c r="J21" s="41" t="s">
        <v>42</v>
      </c>
      <c r="K21" s="30">
        <v>0.25</v>
      </c>
      <c r="M21" s="29"/>
      <c r="O21" s="54" t="s">
        <v>66</v>
      </c>
      <c r="P21" s="31">
        <v>0.3</v>
      </c>
      <c r="Q21" s="10">
        <f>(Q15-1500000)*P21</f>
        <v>71700</v>
      </c>
    </row>
    <row r="22" spans="2:17" ht="30.6" customHeight="1" x14ac:dyDescent="0.3">
      <c r="E22" s="28" t="s">
        <v>68</v>
      </c>
      <c r="F22" s="21">
        <f>(F21*POWER((1+8/400),4)-F21)/12</f>
        <v>12309.869226666671</v>
      </c>
      <c r="I22" s="52"/>
      <c r="J22" s="41" t="s">
        <v>43</v>
      </c>
      <c r="K22" s="30">
        <v>0.3</v>
      </c>
      <c r="M22" s="48">
        <f>M21*0.3</f>
        <v>0</v>
      </c>
      <c r="O22" s="8"/>
      <c r="P22" s="57" t="s">
        <v>83</v>
      </c>
      <c r="Q22" s="35">
        <f>SUM(Q17:Q21)</f>
        <v>211700</v>
      </c>
    </row>
    <row r="23" spans="2:17" x14ac:dyDescent="0.3">
      <c r="I23" s="50"/>
      <c r="M23" s="48"/>
    </row>
    <row r="24" spans="2:17" x14ac:dyDescent="0.3">
      <c r="I24" s="50"/>
      <c r="O24" s="34" t="s">
        <v>34</v>
      </c>
      <c r="P24" s="35">
        <f>J11</f>
        <v>444000</v>
      </c>
      <c r="Q24" s="29"/>
    </row>
    <row r="25" spans="2:17" ht="28.8" x14ac:dyDescent="0.3">
      <c r="I25" s="50"/>
      <c r="O25" s="49" t="s">
        <v>84</v>
      </c>
      <c r="P25" s="16">
        <f>J11+K11</f>
        <v>1292706</v>
      </c>
    </row>
    <row r="26" spans="2:17" x14ac:dyDescent="0.3">
      <c r="I26" s="50"/>
    </row>
    <row r="27" spans="2:17" ht="28.8" x14ac:dyDescent="0.3">
      <c r="I27" s="50"/>
      <c r="O27" s="53" t="s">
        <v>76</v>
      </c>
      <c r="P27" s="34" t="s">
        <v>73</v>
      </c>
      <c r="Q27" s="56" t="s">
        <v>74</v>
      </c>
    </row>
    <row r="28" spans="2:17" x14ac:dyDescent="0.3">
      <c r="O28" s="55" t="s">
        <v>70</v>
      </c>
      <c r="P28" s="31">
        <v>0.05</v>
      </c>
      <c r="Q28" s="10">
        <f>300000*P28</f>
        <v>15000</v>
      </c>
    </row>
    <row r="29" spans="2:17" x14ac:dyDescent="0.3">
      <c r="O29" s="55" t="s">
        <v>57</v>
      </c>
      <c r="P29" s="31">
        <v>0.1</v>
      </c>
      <c r="Q29" s="10">
        <f>300000*P29</f>
        <v>30000</v>
      </c>
    </row>
    <row r="30" spans="2:17" x14ac:dyDescent="0.3">
      <c r="O30" s="55" t="s">
        <v>58</v>
      </c>
      <c r="P30" s="31">
        <v>0.15</v>
      </c>
      <c r="Q30" s="10">
        <f>300000*P30</f>
        <v>45000</v>
      </c>
    </row>
    <row r="31" spans="2:17" x14ac:dyDescent="0.3">
      <c r="O31" s="55" t="s">
        <v>59</v>
      </c>
      <c r="P31" s="31">
        <v>0.2</v>
      </c>
      <c r="Q31" s="10">
        <f>(P25-1200000)*P31</f>
        <v>18541.2</v>
      </c>
    </row>
    <row r="32" spans="2:17" x14ac:dyDescent="0.3">
      <c r="O32" s="55" t="s">
        <v>37</v>
      </c>
      <c r="P32" s="31">
        <v>0.3</v>
      </c>
      <c r="Q32" s="8">
        <v>0</v>
      </c>
    </row>
    <row r="33" spans="15:17" x14ac:dyDescent="0.3">
      <c r="O33" s="8"/>
      <c r="P33" s="34" t="s">
        <v>71</v>
      </c>
      <c r="Q33" s="35">
        <f>SUM(Q28:Q32)</f>
        <v>108541.2</v>
      </c>
    </row>
    <row r="34" spans="15:17" x14ac:dyDescent="0.3">
      <c r="O34" s="8"/>
      <c r="P34" s="9" t="s">
        <v>77</v>
      </c>
      <c r="Q34" s="10">
        <v>42061</v>
      </c>
    </row>
    <row r="35" spans="15:17" x14ac:dyDescent="0.3">
      <c r="O35" s="8"/>
      <c r="P35" s="57" t="s">
        <v>85</v>
      </c>
      <c r="Q35" s="35">
        <f>Q33-Q34</f>
        <v>66480.2</v>
      </c>
    </row>
    <row r="37" spans="15:17" x14ac:dyDescent="0.3">
      <c r="O37" s="34"/>
      <c r="P37" s="57" t="s">
        <v>78</v>
      </c>
      <c r="Q37" s="35">
        <f>Q22+Q35</f>
        <v>278180.2</v>
      </c>
    </row>
  </sheetData>
  <mergeCells count="1">
    <mergeCell ref="N7:N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workbookViewId="0">
      <selection activeCell="K25" sqref="K25"/>
    </sheetView>
  </sheetViews>
  <sheetFormatPr defaultRowHeight="14.4" x14ac:dyDescent="0.3"/>
  <cols>
    <col min="1" max="1" width="8.88671875" style="1"/>
    <col min="2" max="2" width="18.21875" style="3" customWidth="1"/>
    <col min="3" max="3" width="11.33203125" style="2" customWidth="1"/>
    <col min="4" max="4" width="10.6640625" style="1" customWidth="1"/>
    <col min="5" max="5" width="25.77734375" style="3" customWidth="1"/>
    <col min="6" max="6" width="12.33203125" style="2" bestFit="1" customWidth="1"/>
    <col min="7" max="9" width="8.88671875" style="1"/>
    <col min="10" max="10" width="29.6640625" style="1" customWidth="1"/>
    <col min="11" max="11" width="9.77734375" style="1" bestFit="1" customWidth="1"/>
    <col min="12" max="16384" width="8.88671875" style="1"/>
  </cols>
  <sheetData>
    <row r="2" spans="1:11" x14ac:dyDescent="0.3">
      <c r="B2" s="11" t="s">
        <v>0</v>
      </c>
    </row>
    <row r="3" spans="1:11" x14ac:dyDescent="0.3">
      <c r="B3" s="11" t="s">
        <v>1</v>
      </c>
      <c r="C3" s="2">
        <v>46380</v>
      </c>
      <c r="D3" s="1">
        <v>6</v>
      </c>
      <c r="E3" s="4">
        <f>C3*D3</f>
        <v>278280</v>
      </c>
    </row>
    <row r="4" spans="1:11" x14ac:dyDescent="0.3">
      <c r="B4" s="11" t="s">
        <v>2</v>
      </c>
      <c r="C4" s="2">
        <v>147000</v>
      </c>
      <c r="D4" s="1">
        <v>12</v>
      </c>
      <c r="E4" s="4">
        <f t="shared" ref="E4:E8" si="0">C4*D4</f>
        <v>1764000</v>
      </c>
    </row>
    <row r="5" spans="1:11" x14ac:dyDescent="0.3">
      <c r="B5" s="11" t="s">
        <v>3</v>
      </c>
      <c r="C5" s="2">
        <v>151400</v>
      </c>
      <c r="D5" s="1">
        <v>12</v>
      </c>
      <c r="E5" s="4">
        <f t="shared" si="0"/>
        <v>1816800</v>
      </c>
    </row>
    <row r="6" spans="1:11" x14ac:dyDescent="0.3">
      <c r="B6" s="11" t="s">
        <v>4</v>
      </c>
      <c r="C6" s="2">
        <v>155900</v>
      </c>
      <c r="D6" s="1">
        <v>12</v>
      </c>
      <c r="E6" s="4">
        <f t="shared" si="0"/>
        <v>1870800</v>
      </c>
    </row>
    <row r="7" spans="1:11" x14ac:dyDescent="0.3">
      <c r="B7" s="11" t="s">
        <v>5</v>
      </c>
      <c r="C7" s="2">
        <v>161200</v>
      </c>
      <c r="D7" s="1">
        <v>12</v>
      </c>
      <c r="E7" s="4">
        <f t="shared" si="0"/>
        <v>1934400</v>
      </c>
    </row>
    <row r="8" spans="1:11" x14ac:dyDescent="0.3">
      <c r="B8" s="11" t="s">
        <v>6</v>
      </c>
      <c r="C8" s="2">
        <v>171200</v>
      </c>
      <c r="D8" s="1">
        <v>6</v>
      </c>
      <c r="E8" s="4">
        <f t="shared" si="0"/>
        <v>1027200</v>
      </c>
    </row>
    <row r="9" spans="1:11" x14ac:dyDescent="0.3">
      <c r="D9" s="1">
        <f>SUM(D3:D8)</f>
        <v>60</v>
      </c>
      <c r="E9" s="5">
        <f>SUM(E3:E8)</f>
        <v>8691480</v>
      </c>
    </row>
    <row r="10" spans="1:11" x14ac:dyDescent="0.3">
      <c r="D10" s="1" t="s">
        <v>7</v>
      </c>
      <c r="E10" s="4">
        <f>E9/60</f>
        <v>144858</v>
      </c>
    </row>
    <row r="12" spans="1:11" x14ac:dyDescent="0.3">
      <c r="B12" s="3" t="s">
        <v>8</v>
      </c>
      <c r="C12" s="2">
        <f>(19+2)/70*6500</f>
        <v>1950</v>
      </c>
      <c r="D12" s="6">
        <f>5/70*E10</f>
        <v>10347</v>
      </c>
      <c r="E12" s="4">
        <f>C12+D12</f>
        <v>12297</v>
      </c>
    </row>
    <row r="13" spans="1:11" x14ac:dyDescent="0.3">
      <c r="B13" s="3" t="s">
        <v>9</v>
      </c>
      <c r="C13" s="7">
        <f>26/70*E10</f>
        <v>53804.4</v>
      </c>
    </row>
    <row r="14" spans="1:11" x14ac:dyDescent="0.3">
      <c r="E14" s="1"/>
      <c r="F14" s="1"/>
    </row>
    <row r="15" spans="1:11" x14ac:dyDescent="0.3">
      <c r="A15" s="8"/>
      <c r="B15" s="14" t="s">
        <v>10</v>
      </c>
      <c r="C15" s="10">
        <f>152000*26/70</f>
        <v>56457.142857142855</v>
      </c>
      <c r="E15" s="3" t="s">
        <v>16</v>
      </c>
      <c r="F15" s="2">
        <v>3300000</v>
      </c>
      <c r="I15" s="8"/>
      <c r="J15" s="3" t="s">
        <v>21</v>
      </c>
      <c r="K15" s="10">
        <v>33000</v>
      </c>
    </row>
    <row r="16" spans="1:11" x14ac:dyDescent="0.3">
      <c r="C16" s="1"/>
      <c r="E16" s="11" t="s">
        <v>15</v>
      </c>
      <c r="F16" s="2">
        <f>ROUND(272026/12,0)</f>
        <v>22669</v>
      </c>
      <c r="J16" s="12" t="s">
        <v>11</v>
      </c>
      <c r="K16" s="13">
        <f>K15*12</f>
        <v>396000</v>
      </c>
    </row>
    <row r="17" spans="1:11" ht="28.8" x14ac:dyDescent="0.3">
      <c r="B17" s="3" t="s">
        <v>21</v>
      </c>
      <c r="C17" s="1">
        <v>50000</v>
      </c>
      <c r="E17" s="11" t="s">
        <v>20</v>
      </c>
      <c r="F17" s="2">
        <f>C15-F16</f>
        <v>33788.142857142855</v>
      </c>
      <c r="I17" s="8"/>
      <c r="J17" s="9" t="s">
        <v>12</v>
      </c>
      <c r="K17" s="10">
        <f>K16*4.5</f>
        <v>1782000</v>
      </c>
    </row>
    <row r="18" spans="1:11" x14ac:dyDescent="0.3">
      <c r="B18" s="15" t="s">
        <v>11</v>
      </c>
      <c r="C18" s="13">
        <f>C17*12</f>
        <v>600000</v>
      </c>
      <c r="E18" s="1"/>
      <c r="F18" s="1"/>
      <c r="J18" s="9" t="s">
        <v>13</v>
      </c>
      <c r="K18" s="10">
        <f>K17*0.3</f>
        <v>534600</v>
      </c>
    </row>
    <row r="19" spans="1:11" ht="28.8" x14ac:dyDescent="0.3">
      <c r="A19" s="8"/>
      <c r="B19" s="14" t="s">
        <v>12</v>
      </c>
      <c r="C19" s="10">
        <f>C18*4.5</f>
        <v>2700000</v>
      </c>
      <c r="E19" s="11" t="s">
        <v>19</v>
      </c>
      <c r="F19" s="2">
        <f>F15-C21</f>
        <v>1410000</v>
      </c>
      <c r="J19" s="9" t="s">
        <v>14</v>
      </c>
      <c r="K19" s="10">
        <f>K17-K18</f>
        <v>1247400</v>
      </c>
    </row>
    <row r="20" spans="1:11" ht="28.8" x14ac:dyDescent="0.3">
      <c r="B20" s="14" t="s">
        <v>13</v>
      </c>
      <c r="C20" s="10">
        <f>C19*0.3</f>
        <v>810000</v>
      </c>
      <c r="E20" s="11" t="s">
        <v>17</v>
      </c>
      <c r="F20" s="2">
        <f>F19/F17</f>
        <v>41.730615558289685</v>
      </c>
    </row>
    <row r="21" spans="1:11" ht="28.8" x14ac:dyDescent="0.3">
      <c r="B21" s="14" t="s">
        <v>14</v>
      </c>
      <c r="C21" s="10">
        <f>C19-C20</f>
        <v>1890000</v>
      </c>
      <c r="E21" s="11" t="s">
        <v>18</v>
      </c>
      <c r="F21" s="2">
        <f>CEILING(F20/12,1)</f>
        <v>4</v>
      </c>
      <c r="J21" s="14" t="s">
        <v>20</v>
      </c>
      <c r="K21" s="16">
        <f>ROUND(K15-F16,-3)</f>
        <v>10000</v>
      </c>
    </row>
    <row r="22" spans="1:11" x14ac:dyDescent="0.3">
      <c r="E22" s="1"/>
      <c r="F22" s="1"/>
      <c r="J22" s="8"/>
      <c r="K22" s="8"/>
    </row>
    <row r="23" spans="1:11" ht="28.8" x14ac:dyDescent="0.3">
      <c r="E23" s="1"/>
      <c r="F23" s="1"/>
      <c r="J23" s="14" t="s">
        <v>19</v>
      </c>
      <c r="K23" s="16">
        <f>F15-K19</f>
        <v>2052600</v>
      </c>
    </row>
    <row r="24" spans="1:11" ht="28.8" x14ac:dyDescent="0.3">
      <c r="J24" s="14" t="s">
        <v>17</v>
      </c>
      <c r="K24" s="17">
        <f>K23/K21</f>
        <v>205.26</v>
      </c>
    </row>
    <row r="25" spans="1:11" ht="28.8" x14ac:dyDescent="0.3">
      <c r="J25" s="14" t="s">
        <v>18</v>
      </c>
      <c r="K25" s="17">
        <f>K24/12</f>
        <v>17.105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TSB</vt:lpstr>
      <vt:lpstr>TSB (old)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ts_bawa ts_bawa</dc:creator>
  <cp:lastModifiedBy>ts_bawa ts_bawa</cp:lastModifiedBy>
  <dcterms:created xsi:type="dcterms:W3CDTF">2024-04-24T09:00:47Z</dcterms:created>
  <dcterms:modified xsi:type="dcterms:W3CDTF">2024-07-30T14:11:27Z</dcterms:modified>
</cp:coreProperties>
</file>