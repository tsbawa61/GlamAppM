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132" windowWidth="22932" windowHeight="9240"/>
  </bookViews>
  <sheets>
    <sheet name="Sheet1" sheetId="1" r:id="rId1"/>
    <sheet name="Sheet2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B9" i="1"/>
  <c r="B10" s="1"/>
  <c r="D22"/>
  <c r="D21"/>
  <c r="B5"/>
  <c r="C23" l="1"/>
  <c r="D23" s="1"/>
  <c r="D24" s="1"/>
  <c r="B12" s="1"/>
  <c r="B14" s="1"/>
  <c r="B15" s="1"/>
</calcChain>
</file>

<file path=xl/sharedStrings.xml><?xml version="1.0" encoding="utf-8"?>
<sst xmlns="http://schemas.openxmlformats.org/spreadsheetml/2006/main" count="18" uniqueCount="18">
  <si>
    <t>New Pension (WEF Dec,24)</t>
  </si>
  <si>
    <t>Old Pension (wef 16/4/2019)</t>
  </si>
  <si>
    <t>Pension Increase</t>
  </si>
  <si>
    <t>Arrears Due</t>
  </si>
  <si>
    <t>Arrears Received</t>
  </si>
  <si>
    <t>Tax Calculation:</t>
  </si>
  <si>
    <t>Tax Upto Rs 250000</t>
  </si>
  <si>
    <t>250001 To 500000</t>
  </si>
  <si>
    <t>500001 To 1000000</t>
  </si>
  <si>
    <t>1000000 and Above</t>
  </si>
  <si>
    <t>Total Tax</t>
  </si>
  <si>
    <t>Calculations in the Message</t>
  </si>
  <si>
    <t>As Per Message</t>
  </si>
  <si>
    <t>No of Months From 14/6/2018</t>
  </si>
  <si>
    <t>Arrears due to be received</t>
  </si>
  <si>
    <t>Tax  Calculation</t>
  </si>
  <si>
    <t>Arrears Difference</t>
  </si>
  <si>
    <t>Taking 17 days instead of 16 days</t>
  </si>
</sst>
</file>

<file path=xl/styles.xml><?xml version="1.0" encoding="utf-8"?>
<styleSheet xmlns="http://schemas.openxmlformats.org/spreadsheetml/2006/main">
  <numFmts count="2">
    <numFmt numFmtId="43" formatCode="_(* #,##0.00_);_(* \(#,##0.00\);_(* &quot;-&quot;??_);_(@_)"/>
    <numFmt numFmtId="165" formatCode="_(* #,##0_);_(* \(#,##0\);_(* &quot;-&quot;??_);_(@_)"/>
  </numFmts>
  <fonts count="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1">
    <xf numFmtId="0" fontId="0" fillId="0" borderId="0" xfId="0"/>
    <xf numFmtId="165" fontId="0" fillId="0" borderId="0" xfId="1" applyNumberFormat="1" applyFont="1"/>
    <xf numFmtId="0" fontId="0" fillId="0" borderId="1" xfId="0" applyBorder="1"/>
    <xf numFmtId="165" fontId="0" fillId="0" borderId="1" xfId="1" applyNumberFormat="1" applyFont="1" applyBorder="1"/>
    <xf numFmtId="0" fontId="2" fillId="0" borderId="0" xfId="0" applyFont="1"/>
    <xf numFmtId="0" fontId="2" fillId="0" borderId="1" xfId="0" applyFont="1" applyBorder="1"/>
    <xf numFmtId="165" fontId="2" fillId="0" borderId="1" xfId="1" applyNumberFormat="1" applyFont="1" applyBorder="1"/>
    <xf numFmtId="0" fontId="3" fillId="0" borderId="1" xfId="0" applyFont="1" applyBorder="1"/>
    <xf numFmtId="165" fontId="3" fillId="0" borderId="1" xfId="1" applyNumberFormat="1" applyFont="1" applyBorder="1"/>
    <xf numFmtId="9" fontId="0" fillId="0" borderId="1" xfId="2" applyFont="1" applyBorder="1"/>
    <xf numFmtId="0" fontId="2" fillId="0" borderId="2" xfId="0" applyFont="1" applyBorder="1"/>
    <xf numFmtId="165" fontId="2" fillId="0" borderId="2" xfId="1" applyNumberFormat="1" applyFont="1" applyBorder="1"/>
    <xf numFmtId="0" fontId="3" fillId="0" borderId="3" xfId="0" applyFont="1" applyFill="1" applyBorder="1"/>
    <xf numFmtId="0" fontId="2" fillId="0" borderId="0" xfId="0" applyFont="1" applyBorder="1"/>
    <xf numFmtId="0" fontId="0" fillId="0" borderId="0" xfId="0" applyBorder="1"/>
    <xf numFmtId="43" fontId="0" fillId="0" borderId="0" xfId="0" applyNumberFormat="1" applyBorder="1"/>
    <xf numFmtId="165" fontId="2" fillId="0" borderId="0" xfId="1" applyNumberFormat="1" applyFont="1" applyBorder="1"/>
    <xf numFmtId="165" fontId="0" fillId="0" borderId="0" xfId="1" applyNumberFormat="1" applyFont="1" applyBorder="1"/>
    <xf numFmtId="0" fontId="3" fillId="0" borderId="0" xfId="0" applyFont="1" applyBorder="1"/>
    <xf numFmtId="165" fontId="3" fillId="0" borderId="0" xfId="1" applyNumberFormat="1" applyFont="1" applyBorder="1"/>
    <xf numFmtId="0" fontId="3" fillId="0" borderId="0" xfId="0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4"/>
  <sheetViews>
    <sheetView tabSelected="1" workbookViewId="0">
      <selection activeCell="D10" sqref="D10"/>
    </sheetView>
  </sheetViews>
  <sheetFormatPr defaultRowHeight="14.4"/>
  <cols>
    <col min="1" max="1" width="26.44140625" bestFit="1" customWidth="1"/>
    <col min="2" max="2" width="12.5546875" style="1" bestFit="1" customWidth="1"/>
    <col min="3" max="3" width="11.109375" bestFit="1" customWidth="1"/>
    <col min="4" max="4" width="28.33203125" bestFit="1" customWidth="1"/>
    <col min="5" max="6" width="12.5546875" bestFit="1" customWidth="1"/>
  </cols>
  <sheetData>
    <row r="1" spans="1:7">
      <c r="A1" s="4" t="s">
        <v>12</v>
      </c>
    </row>
    <row r="3" spans="1:7">
      <c r="A3" s="2" t="s">
        <v>0</v>
      </c>
      <c r="B3" s="3">
        <v>38456</v>
      </c>
    </row>
    <row r="4" spans="1:7">
      <c r="A4" s="2" t="s">
        <v>1</v>
      </c>
      <c r="B4" s="3">
        <v>3220</v>
      </c>
    </row>
    <row r="5" spans="1:7">
      <c r="A5" s="2" t="s">
        <v>2</v>
      </c>
      <c r="B5" s="3">
        <f>B3-B4</f>
        <v>35236</v>
      </c>
    </row>
    <row r="6" spans="1:7">
      <c r="D6" s="14"/>
      <c r="E6" s="14"/>
    </row>
    <row r="7" spans="1:7" s="4" customFormat="1">
      <c r="A7" s="5" t="s">
        <v>11</v>
      </c>
      <c r="B7" s="6"/>
      <c r="D7" s="13"/>
      <c r="E7" s="16"/>
      <c r="F7" s="13"/>
      <c r="G7" s="13"/>
    </row>
    <row r="8" spans="1:7">
      <c r="A8" s="2"/>
      <c r="B8" s="3"/>
      <c r="D8" s="14"/>
      <c r="E8" s="17"/>
      <c r="F8" s="14"/>
      <c r="G8" s="14"/>
    </row>
    <row r="9" spans="1:7">
      <c r="A9" s="2" t="s">
        <v>13</v>
      </c>
      <c r="B9" s="2">
        <f>83+(17/30)</f>
        <v>83.566666666666663</v>
      </c>
      <c r="D9" s="14" t="s">
        <v>17</v>
      </c>
      <c r="E9" s="14"/>
      <c r="F9" s="14"/>
      <c r="G9" s="14"/>
    </row>
    <row r="10" spans="1:7">
      <c r="A10" s="2" t="s">
        <v>3</v>
      </c>
      <c r="B10" s="3">
        <f>B5*B9</f>
        <v>2944555.0666666664</v>
      </c>
      <c r="D10" s="14"/>
      <c r="E10" s="17"/>
      <c r="F10" s="15"/>
      <c r="G10" s="14"/>
    </row>
    <row r="11" spans="1:7">
      <c r="A11" s="7" t="s">
        <v>4</v>
      </c>
      <c r="B11" s="8">
        <v>2248688</v>
      </c>
      <c r="D11" s="18"/>
      <c r="E11" s="19"/>
      <c r="F11" s="14"/>
      <c r="G11" s="14"/>
    </row>
    <row r="12" spans="1:7">
      <c r="A12" s="2" t="s">
        <v>15</v>
      </c>
      <c r="B12" s="3">
        <f>D24</f>
        <v>695866.5199999999</v>
      </c>
      <c r="D12" s="14"/>
      <c r="E12" s="17"/>
      <c r="F12" s="15"/>
      <c r="G12" s="14"/>
    </row>
    <row r="13" spans="1:7">
      <c r="A13" s="7"/>
      <c r="B13" s="8"/>
      <c r="D13" s="18"/>
      <c r="E13" s="19"/>
      <c r="F13" s="14"/>
      <c r="G13" s="14"/>
    </row>
    <row r="14" spans="1:7">
      <c r="A14" s="2" t="s">
        <v>14</v>
      </c>
      <c r="B14" s="3">
        <f>B10-B12</f>
        <v>2248688.5466666664</v>
      </c>
      <c r="D14" s="14"/>
      <c r="E14" s="17"/>
    </row>
    <row r="15" spans="1:7">
      <c r="A15" s="12" t="s">
        <v>16</v>
      </c>
      <c r="B15" s="1">
        <f>B11-B14</f>
        <v>-0.54666666639968753</v>
      </c>
      <c r="D15" s="20"/>
      <c r="E15" s="17"/>
    </row>
    <row r="18" spans="1:4">
      <c r="A18" s="4" t="s">
        <v>5</v>
      </c>
    </row>
    <row r="20" spans="1:4">
      <c r="A20" s="2" t="s">
        <v>6</v>
      </c>
      <c r="B20" s="3">
        <v>0</v>
      </c>
      <c r="C20" s="2"/>
      <c r="D20" s="2">
        <v>0</v>
      </c>
    </row>
    <row r="21" spans="1:4">
      <c r="A21" s="2" t="s">
        <v>7</v>
      </c>
      <c r="B21" s="9">
        <v>0.05</v>
      </c>
      <c r="C21" s="3">
        <v>250000</v>
      </c>
      <c r="D21" s="3">
        <f>C21*B21</f>
        <v>12500</v>
      </c>
    </row>
    <row r="22" spans="1:4">
      <c r="A22" s="2" t="s">
        <v>8</v>
      </c>
      <c r="B22" s="9">
        <v>0.2</v>
      </c>
      <c r="C22" s="3">
        <v>500000</v>
      </c>
      <c r="D22" s="3">
        <f>C22*B22</f>
        <v>100000</v>
      </c>
    </row>
    <row r="23" spans="1:4">
      <c r="A23" s="2" t="s">
        <v>9</v>
      </c>
      <c r="B23" s="9">
        <v>0.3</v>
      </c>
      <c r="C23" s="3">
        <f>B10-1000000</f>
        <v>1944555.0666666664</v>
      </c>
      <c r="D23" s="3">
        <f>B23*C23</f>
        <v>583366.5199999999</v>
      </c>
    </row>
    <row r="24" spans="1:4">
      <c r="C24" s="10" t="s">
        <v>10</v>
      </c>
      <c r="D24" s="11">
        <f>SUM(D20:D23)</f>
        <v>695866.5199999999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Grizli777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aakashmorya2019@gmail.com</dc:creator>
  <cp:lastModifiedBy>aakashmorya2019@gmail.com</cp:lastModifiedBy>
  <dcterms:created xsi:type="dcterms:W3CDTF">2025-07-13T08:21:28Z</dcterms:created>
  <dcterms:modified xsi:type="dcterms:W3CDTF">2025-09-02T08:31:26Z</dcterms:modified>
</cp:coreProperties>
</file>